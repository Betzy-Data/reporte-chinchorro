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Tabla diná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<sst xmlns="http://schemas.openxmlformats.org/spreadsheetml/2006/main" count="662" uniqueCount="163">
  <si>
    <t>Fecha</t>
  </si>
  <si>
    <t>Factura</t>
  </si>
  <si>
    <t>Producto</t>
  </si>
  <si>
    <t>Cantidad</t>
  </si>
  <si>
    <t>Precio_Unitario</t>
  </si>
  <si>
    <t>Total</t>
  </si>
  <si>
    <t>Cliente</t>
  </si>
  <si>
    <t>Ciudad</t>
  </si>
  <si>
    <t>Metodo_Pago</t>
  </si>
  <si>
    <t>Vendedor</t>
  </si>
  <si>
    <t>Estado</t>
  </si>
  <si>
    <t>FAC-1000</t>
  </si>
  <si>
    <t>Bolso cuero</t>
  </si>
  <si>
    <t>Luisa Gomez</t>
  </si>
  <si>
    <t>Barranquilla</t>
  </si>
  <si>
    <t>Transferencia</t>
  </si>
  <si>
    <t>Yuranis</t>
  </si>
  <si>
    <t>Pagado</t>
  </si>
  <si>
    <t>FAC-1001</t>
  </si>
  <si>
    <t>Chinchorro</t>
  </si>
  <si>
    <t>Cliente mostrador</t>
  </si>
  <si>
    <t>Manaure</t>
  </si>
  <si>
    <t>Efectivo</t>
  </si>
  <si>
    <t>FAC-1002</t>
  </si>
  <si>
    <t>Manilla artesanal</t>
  </si>
  <si>
    <t>Jose Barros</t>
  </si>
  <si>
    <t>Maicao</t>
  </si>
  <si>
    <t>Betzy</t>
  </si>
  <si>
    <t>Pendiente</t>
  </si>
  <si>
    <t>FAC-1003</t>
  </si>
  <si>
    <t>Carlos Epieyu</t>
  </si>
  <si>
    <t>Daviplata</t>
  </si>
  <si>
    <t>Luis</t>
  </si>
  <si>
    <t>FAC-1004</t>
  </si>
  <si>
    <t>Hamaca</t>
  </si>
  <si>
    <t>Hotel Anas</t>
  </si>
  <si>
    <t>FAC-1005</t>
  </si>
  <si>
    <t>Riohacha</t>
  </si>
  <si>
    <t>FAC-1006</t>
  </si>
  <si>
    <t>Sombrero Vueltiao</t>
  </si>
  <si>
    <t>FAC-1007</t>
  </si>
  <si>
    <t>FAC-1008</t>
  </si>
  <si>
    <t>FAC-1009</t>
  </si>
  <si>
    <t>Tienda La Guajira</t>
  </si>
  <si>
    <t>FAC-1010</t>
  </si>
  <si>
    <t>Nequi</t>
  </si>
  <si>
    <t>FAC-1011</t>
  </si>
  <si>
    <t>Maria Pushaina</t>
  </si>
  <si>
    <t>FAC-1012</t>
  </si>
  <si>
    <t>FAC-1013</t>
  </si>
  <si>
    <t>FAC-1014</t>
  </si>
  <si>
    <t>Mochila Wayuu</t>
  </si>
  <si>
    <t>Uribia</t>
  </si>
  <si>
    <t>FAC-1015</t>
  </si>
  <si>
    <t>FAC-1016</t>
  </si>
  <si>
    <t>FAC-1017</t>
  </si>
  <si>
    <t>FAC-1018</t>
  </si>
  <si>
    <t>FAC-1019</t>
  </si>
  <si>
    <t>FAC-1020</t>
  </si>
  <si>
    <t>FAC-1021</t>
  </si>
  <si>
    <t>FAC-1022</t>
  </si>
  <si>
    <t>FAC-1023</t>
  </si>
  <si>
    <t>FAC-1024</t>
  </si>
  <si>
    <t>FAC-1025</t>
  </si>
  <si>
    <t>FAC-1026</t>
  </si>
  <si>
    <t>FAC-1027</t>
  </si>
  <si>
    <t>FAC-1028</t>
  </si>
  <si>
    <t>FAC-1029</t>
  </si>
  <si>
    <t>FAC-1030</t>
  </si>
  <si>
    <t>FAC-1031</t>
  </si>
  <si>
    <t>FAC-1032</t>
  </si>
  <si>
    <t>FAC-1033</t>
  </si>
  <si>
    <t>FAC-1034</t>
  </si>
  <si>
    <t>FAC-1035</t>
  </si>
  <si>
    <t>FAC-1036</t>
  </si>
  <si>
    <t>FAC-1037</t>
  </si>
  <si>
    <t>FAC-1038</t>
  </si>
  <si>
    <t>FAC-1039</t>
  </si>
  <si>
    <t>FAC-1040</t>
  </si>
  <si>
    <t>FAC-1041</t>
  </si>
  <si>
    <t>FAC-1042</t>
  </si>
  <si>
    <t>Ana Uriana</t>
  </si>
  <si>
    <t>FAC-1043</t>
  </si>
  <si>
    <t>FAC-1044</t>
  </si>
  <si>
    <t>FAC-1045</t>
  </si>
  <si>
    <t>FAC-1046</t>
  </si>
  <si>
    <t>FAC-1047</t>
  </si>
  <si>
    <t>FAC-1048</t>
  </si>
  <si>
    <t>FAC-1049</t>
  </si>
  <si>
    <t>FAC-1050</t>
  </si>
  <si>
    <t>FAC-1051</t>
  </si>
  <si>
    <t>FAC-1052</t>
  </si>
  <si>
    <t>FAC-1053</t>
  </si>
  <si>
    <t>FAC-1054</t>
  </si>
  <si>
    <t>FAC-1055</t>
  </si>
  <si>
    <t>FAC-1056</t>
  </si>
  <si>
    <t>FAC-1057</t>
  </si>
  <si>
    <t>FAC-1058</t>
  </si>
  <si>
    <t>FAC-1059</t>
  </si>
  <si>
    <t>FAC-1060</t>
  </si>
  <si>
    <t>FAC-1061</t>
  </si>
  <si>
    <t>FAC-1062</t>
  </si>
  <si>
    <t>FAC-1063</t>
  </si>
  <si>
    <t>FAC-1064</t>
  </si>
  <si>
    <t>FAC-1065</t>
  </si>
  <si>
    <t>FAC-1066</t>
  </si>
  <si>
    <t>FAC-1067</t>
  </si>
  <si>
    <t>FAC-1068</t>
  </si>
  <si>
    <t>FAC-1069</t>
  </si>
  <si>
    <t>FAC-1070</t>
  </si>
  <si>
    <t>FAC-1071</t>
  </si>
  <si>
    <t>FAC-1072</t>
  </si>
  <si>
    <t>FAC-1073</t>
  </si>
  <si>
    <t>FAC-1074</t>
  </si>
  <si>
    <t>FAC-1075</t>
  </si>
  <si>
    <t>FAC-1076</t>
  </si>
  <si>
    <t>FAC-1077</t>
  </si>
  <si>
    <t>FAC-1078</t>
  </si>
  <si>
    <t>FAC-1079</t>
  </si>
  <si>
    <t>Total pagado</t>
  </si>
  <si>
    <t xml:space="preserve">Total pendiente </t>
  </si>
  <si>
    <t>FAC-1080</t>
  </si>
  <si>
    <t>FAC-1081</t>
  </si>
  <si>
    <t>FAC-1082</t>
  </si>
  <si>
    <t>FAC-1083</t>
  </si>
  <si>
    <t>FAC-1084</t>
  </si>
  <si>
    <t>FAC-1085</t>
  </si>
  <si>
    <t>FAC-1086</t>
  </si>
  <si>
    <t>FAC-1087</t>
  </si>
  <si>
    <t>FAC-1088</t>
  </si>
  <si>
    <t>FAC-1089</t>
  </si>
  <si>
    <t>FAC-1090</t>
  </si>
  <si>
    <t>FAC-1091</t>
  </si>
  <si>
    <t>FAC-1092</t>
  </si>
  <si>
    <t>FAC-1093</t>
  </si>
  <si>
    <t>FAC-1094</t>
  </si>
  <si>
    <t>FAC-1095</t>
  </si>
  <si>
    <t>FAC-1096</t>
  </si>
  <si>
    <t>FAC-1097</t>
  </si>
  <si>
    <t>FAC-1098</t>
  </si>
  <si>
    <t>FAC-1099</t>
  </si>
  <si>
    <t>FAC-1100</t>
  </si>
  <si>
    <t>FAC-1101</t>
  </si>
  <si>
    <t>FAC-1102</t>
  </si>
  <si>
    <t>FAC-1103</t>
  </si>
  <si>
    <t>FAC-1104</t>
  </si>
  <si>
    <t>FAC-1105</t>
  </si>
  <si>
    <t>FAC-1106</t>
  </si>
  <si>
    <t>FAC-1107</t>
  </si>
  <si>
    <t>FAC-1108</t>
  </si>
  <si>
    <t>FAC-1109</t>
  </si>
  <si>
    <t>FAC-1110</t>
  </si>
  <si>
    <t>FAC-1111</t>
  </si>
  <si>
    <t>FAC-1112</t>
  </si>
  <si>
    <t>FAC-1113</t>
  </si>
  <si>
    <t>FAC-1114</t>
  </si>
  <si>
    <t>FAC-1115</t>
  </si>
  <si>
    <t>FAC-1116</t>
  </si>
  <si>
    <t>FAC-1117</t>
  </si>
  <si>
    <t>FAC-1118</t>
  </si>
  <si>
    <t>FAC-1119</t>
  </si>
  <si>
    <t>SUM of Total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</si>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</sst>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'Tabla dinámica 1'!$A$3:$A$10</c:f>
            </c:strRef>
          </c:cat>
          <c:val>
            <c:numRef>
              <c:f>'Tabla dinámica 1'!$B$3:$B$10</c:f>
              <c:numCache/>
            </c:numRef>
          </c:val>
        </c:ser>
        <c:axId val="640793228"/>
        <c:axId val="217036914"/>
      </c:barChart>
      <c:catAx>
        <c:axId val="640793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7036914"/>
      </c:catAx>
      <c:valAx>
        <c:axId val="217036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079322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'Tabla dinámica 1'!$A$3:$A$10</c:f>
            </c:strRef>
          </c:cat>
          <c:val>
            <c:numRef>
              <c:f>'Tabla dinámica 1'!$B$3:$B$10</c:f>
              <c:numCache/>
            </c:numRef>
          </c:val>
        </c:ser>
        <c:axId val="1948272038"/>
        <c:axId val="862845495"/>
      </c:barChart>
      <c:catAx>
        <c:axId val="1948272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2845495"/>
      </c:catAx>
      <c:valAx>
        <c:axId val="862845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4827203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'Tabla dinámica 1'!$A$3:$A$9</c:f>
            </c:strRef>
          </c:cat>
          <c:val>
            <c:numRef>
              <c:f>'Tabla dinámica 1'!$B$3:$B$9</c:f>
              <c:numCache/>
            </c:numRef>
          </c:val>
        </c:ser>
        <c:axId val="1148764660"/>
        <c:axId val="928839482"/>
      </c:barChart>
      <c:catAx>
        <c:axId val="1148764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8839482"/>
      </c:catAx>
      <c:valAx>
        <c:axId val="928839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87646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K84" sheet="Hoja 1"/>
  </cacheSource>
  <cacheFields>
    <cacheField name="Fecha">
      <sharedItems containsDate="1" containsMixedTypes="1">
        <d v="2026-09-21T00:00:00Z"/>
        <d v="2026-08-24T00:00:00Z"/>
        <d v="2026-10-03T00:00:00Z"/>
        <d v="2026-09-18T00:00:00Z"/>
        <d v="2026-10-01T00:00:00Z"/>
        <d v="2026-09-20T00:00:00Z"/>
        <d v="2026-08-09T00:00:00Z"/>
        <d v="2026-08-08T00:00:00Z"/>
        <d v="2026-09-23T00:00:00Z"/>
        <d v="2026-09-22T00:00:00Z"/>
        <d v="2026-08-15T00:00:00Z"/>
        <d v="2026-08-12T00:00:00Z"/>
        <d v="2026-09-04T00:00:00Z"/>
        <d v="2026-08-14T00:00:00Z"/>
        <d v="2026-10-02T00:00:00Z"/>
        <d v="2026-10-05T00:00:00Z"/>
        <d v="2026-08-03T00:00:00Z"/>
        <d v="2026-08-02T00:00:00Z"/>
        <d v="2026-08-17T00:00:00Z"/>
        <d v="2026-09-28T00:00:00Z"/>
        <d v="2026-10-06T00:00:00Z"/>
        <d v="2026-09-08T00:00:00Z"/>
        <d v="2026-08-31T00:00:00Z"/>
        <d v="2026-09-29T00:00:00Z"/>
        <d v="2026-09-02T00:00:00Z"/>
        <d v="2026-08-25T00:00:00Z"/>
        <d v="2026-09-30T00:00:00Z"/>
        <d v="2026-08-20T00:00:00Z"/>
        <d v="2026-08-22T00:00:00Z"/>
        <d v="2026-08-30T00:00:00Z"/>
        <d v="2026-08-19T00:00:00Z"/>
        <d v="2026-09-15T00:00:00Z"/>
        <d v="2026-09-01T00:00:00Z"/>
        <d v="2026-09-19T00:00:00Z"/>
        <d v="2026-10-04T00:00:00Z"/>
        <d v="2026-09-16T00:00:00Z"/>
        <d v="2026-09-03T00:00:00Z"/>
        <d v="2026-09-26T00:00:00Z"/>
        <d v="2026-10-08T00:00:00Z"/>
        <d v="2026-08-23T00:00:00Z"/>
        <d v="2026-08-01T00:00:00Z"/>
        <d v="2026-08-29T00:00:00Z"/>
        <d v="2026-08-28T00:00:00Z"/>
        <d v="2026-08-18T00:00:00Z"/>
        <d v="2026-08-07T00:00:00Z"/>
        <d v="2026-09-27T00:00:00Z"/>
        <d v="2026-09-05T00:00:00Z"/>
        <s v="Total pagado"/>
        <s v="Total pendiente "/>
      </sharedItems>
    </cacheField>
    <cacheField name="Factura">
      <sharedItems containsMixedTypes="1" containsNumber="1" containsInteger="1">
        <s v="FAC-1000"/>
        <s v="FAC-1001"/>
        <s v="FAC-1002"/>
        <s v="FAC-1003"/>
        <s v="FAC-1004"/>
        <s v="FAC-1005"/>
        <s v="FAC-1006"/>
        <s v="FAC-1007"/>
        <s v="FAC-1008"/>
        <s v="FAC-1009"/>
        <s v="FAC-1010"/>
        <s v="FAC-1011"/>
        <s v="FAC-1012"/>
        <s v="FAC-1013"/>
        <s v="FAC-1014"/>
        <s v="FAC-1015"/>
        <s v="FAC-1016"/>
        <s v="FAC-1017"/>
        <s v="FAC-1018"/>
        <s v="FAC-1019"/>
        <s v="FAC-1020"/>
        <s v="FAC-1021"/>
        <s v="FAC-1022"/>
        <s v="FAC-1023"/>
        <s v="FAC-1024"/>
        <s v="FAC-1025"/>
        <s v="FAC-1026"/>
        <s v="FAC-1027"/>
        <s v="FAC-1028"/>
        <s v="FAC-1029"/>
        <s v="FAC-1030"/>
        <s v="FAC-1031"/>
        <s v="FAC-1032"/>
        <s v="FAC-1033"/>
        <s v="FAC-1034"/>
        <s v="FAC-1035"/>
        <s v="FAC-1036"/>
        <s v="FAC-1037"/>
        <s v="FAC-1038"/>
        <s v="FAC-1039"/>
        <s v="FAC-1040"/>
        <s v="FAC-1041"/>
        <s v="FAC-1042"/>
        <s v="FAC-1043"/>
        <s v="FAC-1044"/>
        <s v="FAC-1045"/>
        <s v="FAC-1046"/>
        <s v="FAC-1047"/>
        <s v="FAC-1048"/>
        <s v="FAC-1049"/>
        <s v="FAC-1050"/>
        <s v="FAC-1051"/>
        <s v="FAC-1052"/>
        <s v="FAC-1053"/>
        <s v="FAC-1054"/>
        <s v="FAC-1055"/>
        <s v="FAC-1056"/>
        <s v="FAC-1057"/>
        <s v="FAC-1058"/>
        <s v="FAC-1059"/>
        <s v="FAC-1060"/>
        <s v="FAC-1061"/>
        <s v="FAC-1062"/>
        <s v="FAC-1063"/>
        <s v="FAC-1064"/>
        <s v="FAC-1065"/>
        <s v="FAC-1066"/>
        <s v="FAC-1067"/>
        <s v="FAC-1068"/>
        <s v="FAC-1069"/>
        <s v="FAC-1070"/>
        <s v="FAC-1071"/>
        <s v="FAC-1072"/>
        <s v="FAC-1073"/>
        <s v="FAC-1074"/>
        <s v="FAC-1075"/>
        <s v="FAC-1076"/>
        <s v="FAC-1077"/>
        <s v="FAC-1078"/>
        <s v="FAC-1079"/>
        <n v="1.5656302E7"/>
        <n v="6678689.0"/>
      </sharedItems>
    </cacheField>
    <cacheField name="Producto" numFmtId="0">
      <sharedItems containsBlank="1">
        <s v="Bolso cuero"/>
        <s v="Chinchorro"/>
        <s v="Manilla artesanal"/>
        <s v="Hamaca"/>
        <s v="Sombrero Vueltiao"/>
        <s v="Mochila Wayuu"/>
        <m/>
      </sharedItems>
    </cacheField>
    <cacheField name="Cantidad" numFmtId="0">
      <sharedItems containsString="0" containsBlank="1" containsNumber="1" containsInteger="1">
        <n v="3.0"/>
        <n v="5.0"/>
        <n v="1.0"/>
        <n v="4.0"/>
        <n v="2.0"/>
        <m/>
      </sharedItems>
    </cacheField>
    <cacheField name="Precio_Unitario" numFmtId="0">
      <sharedItems containsString="0" containsBlank="1" containsNumber="1" containsInteger="1">
        <n v="120191.0"/>
        <n v="175769.0"/>
        <n v="11184.0"/>
        <n v="177558.0"/>
        <n v="91899.0"/>
        <n v="120393.0"/>
        <n v="67041.0"/>
        <n v="176585.0"/>
        <n v="67989.0"/>
        <n v="11016.0"/>
        <n v="64859.0"/>
        <n v="123006.0"/>
        <n v="180892.0"/>
        <n v="67215.0"/>
        <n v="88110.0"/>
        <n v="175206.0"/>
        <n v="85116.0"/>
        <n v="176059.0"/>
        <n v="69789.0"/>
        <n v="81306.0"/>
        <n v="94413.0"/>
        <n v="178763.0"/>
        <n v="176636.0"/>
        <n v="15855.0"/>
        <n v="15791.0"/>
        <n v="92931.0"/>
        <n v="99986.0"/>
        <n v="177911.0"/>
        <n v="61802.0"/>
        <n v="90262.0"/>
        <n v="85423.0"/>
        <n v="89874.0"/>
        <n v="11648.0"/>
        <n v="119973.0"/>
        <n v="88352.0"/>
        <n v="179735.0"/>
        <n v="98754.0"/>
        <n v="87022.0"/>
        <n v="17679.0"/>
        <n v="116060.0"/>
        <n v="80190.0"/>
        <n v="65854.0"/>
        <n v="97806.0"/>
        <n v="87343.0"/>
        <n v="86971.0"/>
        <n v="96002.0"/>
        <n v="93769.0"/>
        <n v="13854.0"/>
        <n v="118051.0"/>
        <n v="181799.0"/>
        <n v="85177.0"/>
        <n v="89204.0"/>
        <n v="97404.0"/>
        <n v="123130.0"/>
        <n v="120188.0"/>
        <n v="16617.0"/>
        <n v="62849.0"/>
        <n v="119611.0"/>
        <n v="12427.0"/>
        <n v="180536.0"/>
        <n v="98945.0"/>
        <n v="178974.0"/>
        <n v="17164.0"/>
        <n v="176122.0"/>
        <n v="93440.0"/>
        <n v="88787.0"/>
        <n v="80395.0"/>
        <n v="94946.0"/>
        <n v="15588.0"/>
        <n v="66541.0"/>
        <n v="17241.0"/>
        <n v="91191.0"/>
        <n v="120541.0"/>
        <n v="89347.0"/>
        <n v="180977.0"/>
        <n v="18647.0"/>
        <n v="87576.0"/>
        <n v="16316.0"/>
        <n v="181190.0"/>
        <n v="117703.0"/>
        <m/>
      </sharedItems>
    </cacheField>
    <cacheField name="Total" numFmtId="0">
      <sharedItems containsString="0" containsBlank="1" containsNumber="1" containsInteger="1">
        <n v="360573.0"/>
        <n v="878845.0"/>
        <n v="55920.0"/>
        <n v="532674.0"/>
        <n v="275697.0"/>
        <n v="120393.0"/>
        <n v="335205.0"/>
        <n v="176585.0"/>
        <n v="271956.0"/>
        <n v="44064.0"/>
        <n v="64859.0"/>
        <n v="123006.0"/>
        <n v="542676.0"/>
        <n v="67215.0"/>
        <n v="264330.0"/>
        <n v="175206.0"/>
        <n v="340464.0"/>
        <n v="880295.0"/>
        <n v="348945.0"/>
        <n v="81306.0"/>
        <n v="283239.0"/>
        <n v="178763.0"/>
        <n v="176636.0"/>
        <n v="79275.0"/>
        <n v="31582.0"/>
        <n v="464655.0"/>
        <n v="499930.0"/>
        <n v="711644.0"/>
        <n v="61802.0"/>
        <n v="180524.0"/>
        <n v="170846.0"/>
        <n v="269622.0"/>
        <n v="34944.0"/>
        <n v="239946.0"/>
        <n v="353408.0"/>
        <n v="179735.0"/>
        <n v="493770.0"/>
        <n v="348088.0"/>
        <n v="53037.0"/>
        <n v="348180.0"/>
        <n v="320760.0"/>
        <n v="65854.0"/>
        <n v="195612.0"/>
        <n v="262029.0"/>
        <n v="434855.0"/>
        <n v="384008.0"/>
        <n v="281307.0"/>
        <n v="27708.0"/>
        <n v="472204.0"/>
        <n v="727196.0"/>
        <n v="255531.0"/>
        <n v="356816.0"/>
        <n v="97404.0"/>
        <n v="615650.0"/>
        <n v="480752.0"/>
        <n v="33234.0"/>
        <n v="125698.0"/>
        <n v="598055.0"/>
        <n v="24854.0"/>
        <n v="180536.0"/>
        <n v="197890.0"/>
        <n v="178974.0"/>
        <n v="17164.0"/>
        <n v="176122.0"/>
        <n v="467200.0"/>
        <n v="88787.0"/>
        <n v="321580.0"/>
        <n v="379784.0"/>
        <n v="46764.0"/>
        <n v="133082.0"/>
        <n v="17241.0"/>
        <n v="455955.0"/>
        <n v="602705.0"/>
        <n v="446735.0"/>
        <n v="361954.0"/>
        <n v="74588.0"/>
        <n v="350304.0"/>
        <n v="81580.0"/>
        <n v="543570.0"/>
        <n v="353109.0"/>
        <m/>
      </sharedItems>
    </cacheField>
    <cacheField name="Cliente" numFmtId="0">
      <sharedItems containsBlank="1">
        <s v="Luisa Gomez"/>
        <s v="Cliente mostrador"/>
        <s v="Jose Barros"/>
        <s v="Carlos Epieyu"/>
        <s v="Hotel Anas"/>
        <s v="Tienda La Guajira"/>
        <s v="Maria Pushaina"/>
        <s v="Ana Uriana"/>
        <m/>
      </sharedItems>
    </cacheField>
    <cacheField name="Ciudad" numFmtId="0">
      <sharedItems containsBlank="1">
        <s v="Barranquilla"/>
        <s v="Manaure"/>
        <s v="Maicao"/>
        <s v="Riohacha"/>
        <s v="Uribia"/>
        <m/>
      </sharedItems>
    </cacheField>
    <cacheField name="Metodo_Pago" numFmtId="0">
      <sharedItems containsBlank="1">
        <s v="Transferencia"/>
        <s v="Efectivo"/>
        <s v="Daviplata"/>
        <s v="Nequi"/>
        <m/>
      </sharedItems>
    </cacheField>
    <cacheField name="Vendedor" numFmtId="0">
      <sharedItems containsBlank="1">
        <s v="Yuranis"/>
        <s v="Betzy"/>
        <s v="Luis"/>
        <m/>
      </sharedItems>
    </cacheField>
    <cacheField name="Estado" numFmtId="0">
      <sharedItems containsBlank="1">
        <s v="Pagado"/>
        <s v="Pendient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2:B10" firstHeaderRow="0" firstDataRow="1" firstDataCol="0"/>
  <pivotFields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Fac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roducto" axis="axisRow" compact="0" outline="0" multipleItemSelectionAllowed="1" showAll="0" sortType="ascending">
      <items>
        <item x="6"/>
        <item x="0"/>
        <item x="1"/>
        <item x="3"/>
        <item x="2"/>
        <item x="5"/>
        <item x="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Total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ht="15.75" customHeight="1">
      <c r="A3" s="2">
        <v>46286.0</v>
      </c>
      <c r="B3" s="1" t="s">
        <v>11</v>
      </c>
      <c r="C3" s="1" t="s">
        <v>12</v>
      </c>
      <c r="D3" s="1">
        <v>3.0</v>
      </c>
      <c r="E3" s="1">
        <v>120191.0</v>
      </c>
      <c r="F3" s="1">
        <v>360573.0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</row>
    <row r="4" ht="15.75" customHeight="1">
      <c r="A4" s="2">
        <v>46258.0</v>
      </c>
      <c r="B4" s="1" t="s">
        <v>18</v>
      </c>
      <c r="C4" s="1" t="s">
        <v>19</v>
      </c>
      <c r="D4" s="1">
        <v>5.0</v>
      </c>
      <c r="E4" s="1">
        <v>175769.0</v>
      </c>
      <c r="F4" s="1">
        <v>878845.0</v>
      </c>
      <c r="G4" s="1" t="s">
        <v>20</v>
      </c>
      <c r="H4" s="1" t="s">
        <v>21</v>
      </c>
      <c r="I4" s="1" t="s">
        <v>22</v>
      </c>
      <c r="J4" s="1" t="s">
        <v>16</v>
      </c>
      <c r="K4" s="1" t="s">
        <v>17</v>
      </c>
    </row>
    <row r="5" ht="15.75" customHeight="1">
      <c r="A5" s="2">
        <v>46298.0</v>
      </c>
      <c r="B5" s="1" t="s">
        <v>23</v>
      </c>
      <c r="C5" s="1" t="s">
        <v>24</v>
      </c>
      <c r="D5" s="1">
        <v>5.0</v>
      </c>
      <c r="E5" s="1">
        <v>11184.0</v>
      </c>
      <c r="F5" s="1">
        <v>55920.0</v>
      </c>
      <c r="G5" s="1" t="s">
        <v>25</v>
      </c>
      <c r="H5" s="1" t="s">
        <v>26</v>
      </c>
      <c r="I5" s="1" t="s">
        <v>22</v>
      </c>
      <c r="J5" s="1" t="s">
        <v>27</v>
      </c>
      <c r="K5" s="1" t="s">
        <v>28</v>
      </c>
    </row>
    <row r="6" ht="15.75" customHeight="1">
      <c r="A6" s="2">
        <v>46283.0</v>
      </c>
      <c r="B6" s="1" t="s">
        <v>29</v>
      </c>
      <c r="C6" s="1" t="s">
        <v>19</v>
      </c>
      <c r="D6" s="1">
        <v>3.0</v>
      </c>
      <c r="E6" s="1">
        <v>177558.0</v>
      </c>
      <c r="F6" s="1">
        <v>532674.0</v>
      </c>
      <c r="G6" s="1" t="s">
        <v>30</v>
      </c>
      <c r="H6" s="1" t="s">
        <v>21</v>
      </c>
      <c r="I6" s="1" t="s">
        <v>31</v>
      </c>
      <c r="J6" s="1" t="s">
        <v>32</v>
      </c>
      <c r="K6" s="1" t="s">
        <v>17</v>
      </c>
    </row>
    <row r="7" ht="15.75" customHeight="1">
      <c r="A7" s="2">
        <v>46296.0</v>
      </c>
      <c r="B7" s="1" t="s">
        <v>33</v>
      </c>
      <c r="C7" s="1" t="s">
        <v>34</v>
      </c>
      <c r="D7" s="1">
        <v>3.0</v>
      </c>
      <c r="E7" s="1">
        <v>91899.0</v>
      </c>
      <c r="F7" s="1">
        <v>275697.0</v>
      </c>
      <c r="G7" s="1" t="s">
        <v>35</v>
      </c>
      <c r="H7" s="1" t="s">
        <v>21</v>
      </c>
      <c r="I7" s="1" t="s">
        <v>31</v>
      </c>
      <c r="J7" s="1" t="s">
        <v>27</v>
      </c>
      <c r="K7" s="1" t="s">
        <v>17</v>
      </c>
    </row>
    <row r="8" ht="15.75" customHeight="1">
      <c r="A8" s="2">
        <v>46285.0</v>
      </c>
      <c r="B8" s="1" t="s">
        <v>36</v>
      </c>
      <c r="C8" s="1" t="s">
        <v>12</v>
      </c>
      <c r="D8" s="1">
        <v>1.0</v>
      </c>
      <c r="E8" s="1">
        <v>120393.0</v>
      </c>
      <c r="F8" s="1">
        <v>120393.0</v>
      </c>
      <c r="G8" s="1" t="s">
        <v>25</v>
      </c>
      <c r="H8" s="1" t="s">
        <v>37</v>
      </c>
      <c r="I8" s="1" t="s">
        <v>31</v>
      </c>
      <c r="J8" s="1" t="s">
        <v>16</v>
      </c>
      <c r="K8" s="1" t="s">
        <v>17</v>
      </c>
    </row>
    <row r="9" ht="15.75" customHeight="1">
      <c r="A9" s="2">
        <v>46243.0</v>
      </c>
      <c r="B9" s="1" t="s">
        <v>38</v>
      </c>
      <c r="C9" s="1" t="s">
        <v>39</v>
      </c>
      <c r="D9" s="1">
        <v>5.0</v>
      </c>
      <c r="E9" s="1">
        <v>67041.0</v>
      </c>
      <c r="F9" s="1">
        <v>335205.0</v>
      </c>
      <c r="G9" s="1" t="s">
        <v>25</v>
      </c>
      <c r="H9" s="1" t="s">
        <v>21</v>
      </c>
      <c r="I9" s="1" t="s">
        <v>15</v>
      </c>
      <c r="J9" s="1" t="s">
        <v>32</v>
      </c>
      <c r="K9" s="1" t="s">
        <v>28</v>
      </c>
    </row>
    <row r="10" ht="15.75" customHeight="1">
      <c r="A10" s="2">
        <v>46242.0</v>
      </c>
      <c r="B10" s="1" t="s">
        <v>40</v>
      </c>
      <c r="C10" s="1" t="s">
        <v>19</v>
      </c>
      <c r="D10" s="1">
        <v>1.0</v>
      </c>
      <c r="E10" s="1">
        <v>176585.0</v>
      </c>
      <c r="F10" s="1">
        <v>176585.0</v>
      </c>
      <c r="G10" s="1" t="s">
        <v>20</v>
      </c>
      <c r="H10" s="1" t="s">
        <v>21</v>
      </c>
      <c r="I10" s="1" t="s">
        <v>22</v>
      </c>
      <c r="J10" s="1" t="s">
        <v>16</v>
      </c>
      <c r="K10" s="1" t="s">
        <v>17</v>
      </c>
    </row>
    <row r="11" ht="15.75" customHeight="1">
      <c r="A11" s="2">
        <v>46288.0</v>
      </c>
      <c r="B11" s="1" t="s">
        <v>41</v>
      </c>
      <c r="C11" s="1" t="s">
        <v>39</v>
      </c>
      <c r="D11" s="1">
        <v>4.0</v>
      </c>
      <c r="E11" s="1">
        <v>67989.0</v>
      </c>
      <c r="F11" s="1">
        <v>271956.0</v>
      </c>
      <c r="G11" s="1" t="s">
        <v>13</v>
      </c>
      <c r="H11" s="1" t="s">
        <v>26</v>
      </c>
      <c r="I11" s="1" t="s">
        <v>22</v>
      </c>
      <c r="J11" s="1" t="s">
        <v>16</v>
      </c>
      <c r="K11" s="1" t="s">
        <v>17</v>
      </c>
    </row>
    <row r="12" ht="15.75" customHeight="1">
      <c r="A12" s="2">
        <v>46296.0</v>
      </c>
      <c r="B12" s="1" t="s">
        <v>42</v>
      </c>
      <c r="C12" s="1" t="s">
        <v>24</v>
      </c>
      <c r="D12" s="1">
        <v>4.0</v>
      </c>
      <c r="E12" s="1">
        <v>11016.0</v>
      </c>
      <c r="F12" s="1">
        <v>44064.0</v>
      </c>
      <c r="G12" s="1" t="s">
        <v>43</v>
      </c>
      <c r="H12" s="1" t="s">
        <v>14</v>
      </c>
      <c r="I12" s="1" t="s">
        <v>31</v>
      </c>
      <c r="J12" s="1" t="s">
        <v>27</v>
      </c>
      <c r="K12" s="1" t="s">
        <v>17</v>
      </c>
    </row>
    <row r="13" ht="15.75" customHeight="1">
      <c r="A13" s="2">
        <v>46287.0</v>
      </c>
      <c r="B13" s="1" t="s">
        <v>44</v>
      </c>
      <c r="C13" s="1" t="s">
        <v>39</v>
      </c>
      <c r="D13" s="1">
        <v>1.0</v>
      </c>
      <c r="E13" s="1">
        <v>64859.0</v>
      </c>
      <c r="F13" s="1">
        <v>64859.0</v>
      </c>
      <c r="G13" s="1" t="s">
        <v>25</v>
      </c>
      <c r="H13" s="1" t="s">
        <v>21</v>
      </c>
      <c r="I13" s="1" t="s">
        <v>45</v>
      </c>
      <c r="J13" s="1" t="s">
        <v>27</v>
      </c>
      <c r="K13" s="1" t="s">
        <v>17</v>
      </c>
    </row>
    <row r="14" ht="15.75" customHeight="1">
      <c r="A14" s="2">
        <v>46249.0</v>
      </c>
      <c r="B14" s="1" t="s">
        <v>46</v>
      </c>
      <c r="C14" s="1" t="s">
        <v>12</v>
      </c>
      <c r="D14" s="1">
        <v>1.0</v>
      </c>
      <c r="E14" s="1">
        <v>123006.0</v>
      </c>
      <c r="F14" s="1">
        <v>123006.0</v>
      </c>
      <c r="G14" s="1" t="s">
        <v>47</v>
      </c>
      <c r="H14" s="1" t="s">
        <v>37</v>
      </c>
      <c r="I14" s="1" t="s">
        <v>31</v>
      </c>
      <c r="J14" s="1" t="s">
        <v>32</v>
      </c>
      <c r="K14" s="1" t="s">
        <v>17</v>
      </c>
    </row>
    <row r="15" ht="15.75" customHeight="1">
      <c r="A15" s="2">
        <v>46242.0</v>
      </c>
      <c r="B15" s="1" t="s">
        <v>48</v>
      </c>
      <c r="C15" s="1" t="s">
        <v>19</v>
      </c>
      <c r="D15" s="1">
        <v>3.0</v>
      </c>
      <c r="E15" s="1">
        <v>180892.0</v>
      </c>
      <c r="F15" s="1">
        <v>542676.0</v>
      </c>
      <c r="G15" s="1" t="s">
        <v>30</v>
      </c>
      <c r="H15" s="1" t="s">
        <v>26</v>
      </c>
      <c r="I15" s="1" t="s">
        <v>45</v>
      </c>
      <c r="J15" s="1" t="s">
        <v>32</v>
      </c>
      <c r="K15" s="1" t="s">
        <v>17</v>
      </c>
    </row>
    <row r="16" ht="15.75" customHeight="1">
      <c r="A16" s="2">
        <v>46246.0</v>
      </c>
      <c r="B16" s="1" t="s">
        <v>49</v>
      </c>
      <c r="C16" s="1" t="s">
        <v>39</v>
      </c>
      <c r="D16" s="1">
        <v>1.0</v>
      </c>
      <c r="E16" s="1">
        <v>67215.0</v>
      </c>
      <c r="F16" s="1">
        <v>67215.0</v>
      </c>
      <c r="G16" s="1" t="s">
        <v>35</v>
      </c>
      <c r="H16" s="1" t="s">
        <v>14</v>
      </c>
      <c r="I16" s="1" t="s">
        <v>15</v>
      </c>
      <c r="J16" s="1" t="s">
        <v>16</v>
      </c>
      <c r="K16" s="1" t="s">
        <v>17</v>
      </c>
    </row>
    <row r="17" ht="15.75" customHeight="1">
      <c r="A17" s="2">
        <v>46269.0</v>
      </c>
      <c r="B17" s="1" t="s">
        <v>50</v>
      </c>
      <c r="C17" s="1" t="s">
        <v>51</v>
      </c>
      <c r="D17" s="1">
        <v>3.0</v>
      </c>
      <c r="E17" s="1">
        <v>88110.0</v>
      </c>
      <c r="F17" s="1">
        <v>264330.0</v>
      </c>
      <c r="G17" s="1" t="s">
        <v>43</v>
      </c>
      <c r="H17" s="1" t="s">
        <v>52</v>
      </c>
      <c r="I17" s="1" t="s">
        <v>45</v>
      </c>
      <c r="J17" s="1" t="s">
        <v>27</v>
      </c>
      <c r="K17" s="1" t="s">
        <v>17</v>
      </c>
    </row>
    <row r="18" ht="15.75" customHeight="1">
      <c r="A18" s="2">
        <v>46248.0</v>
      </c>
      <c r="B18" s="1" t="s">
        <v>53</v>
      </c>
      <c r="C18" s="1" t="s">
        <v>19</v>
      </c>
      <c r="D18" s="1">
        <v>1.0</v>
      </c>
      <c r="E18" s="1">
        <v>175206.0</v>
      </c>
      <c r="F18" s="1">
        <v>175206.0</v>
      </c>
      <c r="G18" s="1" t="s">
        <v>35</v>
      </c>
      <c r="H18" s="1" t="s">
        <v>26</v>
      </c>
      <c r="I18" s="1" t="s">
        <v>22</v>
      </c>
      <c r="J18" s="1" t="s">
        <v>27</v>
      </c>
      <c r="K18" s="1" t="s">
        <v>17</v>
      </c>
    </row>
    <row r="19" ht="15.75" customHeight="1">
      <c r="A19" s="2">
        <v>46297.0</v>
      </c>
      <c r="B19" s="1" t="s">
        <v>54</v>
      </c>
      <c r="C19" s="1" t="s">
        <v>51</v>
      </c>
      <c r="D19" s="1">
        <v>4.0</v>
      </c>
      <c r="E19" s="1">
        <v>85116.0</v>
      </c>
      <c r="F19" s="1">
        <v>340464.0</v>
      </c>
      <c r="G19" s="1" t="s">
        <v>20</v>
      </c>
      <c r="H19" s="1" t="s">
        <v>21</v>
      </c>
      <c r="I19" s="1" t="s">
        <v>22</v>
      </c>
      <c r="J19" s="1" t="s">
        <v>27</v>
      </c>
      <c r="K19" s="1" t="s">
        <v>17</v>
      </c>
    </row>
    <row r="20" ht="15.75" customHeight="1">
      <c r="A20" s="2">
        <v>46249.0</v>
      </c>
      <c r="B20" s="1" t="s">
        <v>55</v>
      </c>
      <c r="C20" s="1" t="s">
        <v>19</v>
      </c>
      <c r="D20" s="1">
        <v>5.0</v>
      </c>
      <c r="E20" s="1">
        <v>176059.0</v>
      </c>
      <c r="F20" s="1">
        <v>880295.0</v>
      </c>
      <c r="G20" s="1" t="s">
        <v>13</v>
      </c>
      <c r="H20" s="1" t="s">
        <v>52</v>
      </c>
      <c r="I20" s="1" t="s">
        <v>15</v>
      </c>
      <c r="J20" s="1" t="s">
        <v>16</v>
      </c>
      <c r="K20" s="1" t="s">
        <v>28</v>
      </c>
    </row>
    <row r="21" ht="15.75" customHeight="1">
      <c r="A21" s="2">
        <v>46300.0</v>
      </c>
      <c r="B21" s="1" t="s">
        <v>56</v>
      </c>
      <c r="C21" s="1" t="s">
        <v>39</v>
      </c>
      <c r="D21" s="1">
        <v>5.0</v>
      </c>
      <c r="E21" s="1">
        <v>69789.0</v>
      </c>
      <c r="F21" s="1">
        <v>348945.0</v>
      </c>
      <c r="G21" s="1" t="s">
        <v>47</v>
      </c>
      <c r="H21" s="1" t="s">
        <v>14</v>
      </c>
      <c r="I21" s="1" t="s">
        <v>22</v>
      </c>
      <c r="J21" s="1" t="s">
        <v>16</v>
      </c>
      <c r="K21" s="1" t="s">
        <v>17</v>
      </c>
    </row>
    <row r="22" ht="15.75" customHeight="1">
      <c r="A22" s="2">
        <v>46296.0</v>
      </c>
      <c r="B22" s="1" t="s">
        <v>57</v>
      </c>
      <c r="C22" s="1" t="s">
        <v>51</v>
      </c>
      <c r="D22" s="1">
        <v>1.0</v>
      </c>
      <c r="E22" s="1">
        <v>81306.0</v>
      </c>
      <c r="F22" s="1">
        <v>81306.0</v>
      </c>
      <c r="G22" s="1" t="s">
        <v>43</v>
      </c>
      <c r="H22" s="1" t="s">
        <v>37</v>
      </c>
      <c r="I22" s="1" t="s">
        <v>31</v>
      </c>
      <c r="J22" s="1" t="s">
        <v>27</v>
      </c>
      <c r="K22" s="1" t="s">
        <v>17</v>
      </c>
    </row>
    <row r="23" ht="15.75" customHeight="1">
      <c r="A23" s="2">
        <v>46237.0</v>
      </c>
      <c r="B23" s="1" t="s">
        <v>58</v>
      </c>
      <c r="C23" s="1" t="s">
        <v>34</v>
      </c>
      <c r="D23" s="1">
        <v>3.0</v>
      </c>
      <c r="E23" s="1">
        <v>94413.0</v>
      </c>
      <c r="F23" s="1">
        <v>283239.0</v>
      </c>
      <c r="G23" s="1" t="s">
        <v>13</v>
      </c>
      <c r="H23" s="1" t="s">
        <v>37</v>
      </c>
      <c r="I23" s="1" t="s">
        <v>15</v>
      </c>
      <c r="J23" s="1" t="s">
        <v>16</v>
      </c>
      <c r="K23" s="1" t="s">
        <v>28</v>
      </c>
    </row>
    <row r="24" ht="15.75" customHeight="1">
      <c r="A24" s="2">
        <v>46258.0</v>
      </c>
      <c r="B24" s="1" t="s">
        <v>59</v>
      </c>
      <c r="C24" s="1" t="s">
        <v>19</v>
      </c>
      <c r="D24" s="1">
        <v>1.0</v>
      </c>
      <c r="E24" s="1">
        <v>178763.0</v>
      </c>
      <c r="F24" s="1">
        <v>178763.0</v>
      </c>
      <c r="G24" s="1" t="s">
        <v>47</v>
      </c>
      <c r="H24" s="1" t="s">
        <v>37</v>
      </c>
      <c r="I24" s="1" t="s">
        <v>22</v>
      </c>
      <c r="J24" s="1" t="s">
        <v>16</v>
      </c>
      <c r="K24" s="1" t="s">
        <v>17</v>
      </c>
    </row>
    <row r="25" ht="15.75" customHeight="1">
      <c r="A25" s="2">
        <v>46236.0</v>
      </c>
      <c r="B25" s="1" t="s">
        <v>60</v>
      </c>
      <c r="C25" s="1" t="s">
        <v>19</v>
      </c>
      <c r="D25" s="1">
        <v>1.0</v>
      </c>
      <c r="E25" s="1">
        <v>176636.0</v>
      </c>
      <c r="F25" s="1">
        <v>176636.0</v>
      </c>
      <c r="G25" s="1" t="s">
        <v>47</v>
      </c>
      <c r="H25" s="1" t="s">
        <v>37</v>
      </c>
      <c r="I25" s="1" t="s">
        <v>15</v>
      </c>
      <c r="J25" s="1" t="s">
        <v>27</v>
      </c>
      <c r="K25" s="1" t="s">
        <v>17</v>
      </c>
    </row>
    <row r="26" ht="15.75" customHeight="1">
      <c r="A26" s="2">
        <v>46236.0</v>
      </c>
      <c r="B26" s="1" t="s">
        <v>61</v>
      </c>
      <c r="C26" s="1" t="s">
        <v>24</v>
      </c>
      <c r="D26" s="1">
        <v>5.0</v>
      </c>
      <c r="E26" s="1">
        <v>15855.0</v>
      </c>
      <c r="F26" s="1">
        <v>79275.0</v>
      </c>
      <c r="G26" s="1" t="s">
        <v>47</v>
      </c>
      <c r="H26" s="1" t="s">
        <v>37</v>
      </c>
      <c r="I26" s="1" t="s">
        <v>15</v>
      </c>
      <c r="J26" s="1" t="s">
        <v>16</v>
      </c>
      <c r="K26" s="1" t="s">
        <v>17</v>
      </c>
    </row>
    <row r="27" ht="15.75" customHeight="1">
      <c r="A27" s="2">
        <v>46287.0</v>
      </c>
      <c r="B27" s="1" t="s">
        <v>62</v>
      </c>
      <c r="C27" s="1" t="s">
        <v>24</v>
      </c>
      <c r="D27" s="1">
        <v>2.0</v>
      </c>
      <c r="E27" s="1">
        <v>15791.0</v>
      </c>
      <c r="F27" s="1">
        <v>31582.0</v>
      </c>
      <c r="G27" s="1" t="s">
        <v>43</v>
      </c>
      <c r="H27" s="1" t="s">
        <v>21</v>
      </c>
      <c r="I27" s="1" t="s">
        <v>15</v>
      </c>
      <c r="J27" s="1" t="s">
        <v>32</v>
      </c>
      <c r="K27" s="1" t="s">
        <v>28</v>
      </c>
    </row>
    <row r="28" ht="15.75" customHeight="1">
      <c r="A28" s="2">
        <v>46251.0</v>
      </c>
      <c r="B28" s="1" t="s">
        <v>63</v>
      </c>
      <c r="C28" s="1" t="s">
        <v>34</v>
      </c>
      <c r="D28" s="1">
        <v>5.0</v>
      </c>
      <c r="E28" s="1">
        <v>92931.0</v>
      </c>
      <c r="F28" s="1">
        <v>464655.0</v>
      </c>
      <c r="G28" s="1" t="s">
        <v>30</v>
      </c>
      <c r="H28" s="1" t="s">
        <v>52</v>
      </c>
      <c r="I28" s="1" t="s">
        <v>15</v>
      </c>
      <c r="J28" s="1" t="s">
        <v>27</v>
      </c>
      <c r="K28" s="1" t="s">
        <v>17</v>
      </c>
    </row>
    <row r="29" ht="15.75" customHeight="1">
      <c r="A29" s="2">
        <v>46293.0</v>
      </c>
      <c r="B29" s="1" t="s">
        <v>64</v>
      </c>
      <c r="C29" s="1" t="s">
        <v>34</v>
      </c>
      <c r="D29" s="1">
        <v>5.0</v>
      </c>
      <c r="E29" s="1">
        <v>99986.0</v>
      </c>
      <c r="F29" s="1">
        <v>499930.0</v>
      </c>
      <c r="G29" s="1" t="s">
        <v>25</v>
      </c>
      <c r="H29" s="1" t="s">
        <v>21</v>
      </c>
      <c r="I29" s="1" t="s">
        <v>15</v>
      </c>
      <c r="J29" s="1" t="s">
        <v>32</v>
      </c>
      <c r="K29" s="1" t="s">
        <v>17</v>
      </c>
    </row>
    <row r="30" ht="15.75" customHeight="1">
      <c r="A30" s="2">
        <v>46301.0</v>
      </c>
      <c r="B30" s="1" t="s">
        <v>65</v>
      </c>
      <c r="C30" s="1" t="s">
        <v>19</v>
      </c>
      <c r="D30" s="1">
        <v>4.0</v>
      </c>
      <c r="E30" s="1">
        <v>177911.0</v>
      </c>
      <c r="F30" s="1">
        <v>711644.0</v>
      </c>
      <c r="G30" s="1" t="s">
        <v>35</v>
      </c>
      <c r="H30" s="1" t="s">
        <v>21</v>
      </c>
      <c r="I30" s="1" t="s">
        <v>45</v>
      </c>
      <c r="J30" s="1" t="s">
        <v>27</v>
      </c>
      <c r="K30" s="1" t="s">
        <v>28</v>
      </c>
    </row>
    <row r="31" ht="15.75" customHeight="1">
      <c r="A31" s="2">
        <v>46273.0</v>
      </c>
      <c r="B31" s="1" t="s">
        <v>66</v>
      </c>
      <c r="C31" s="1" t="s">
        <v>39</v>
      </c>
      <c r="D31" s="1">
        <v>1.0</v>
      </c>
      <c r="E31" s="1">
        <v>61802.0</v>
      </c>
      <c r="F31" s="1">
        <v>61802.0</v>
      </c>
      <c r="G31" s="1" t="s">
        <v>25</v>
      </c>
      <c r="H31" s="1" t="s">
        <v>37</v>
      </c>
      <c r="I31" s="1" t="s">
        <v>45</v>
      </c>
      <c r="J31" s="1" t="s">
        <v>16</v>
      </c>
      <c r="K31" s="1" t="s">
        <v>17</v>
      </c>
    </row>
    <row r="32" ht="15.75" customHeight="1">
      <c r="A32" s="2">
        <v>46265.0</v>
      </c>
      <c r="B32" s="1" t="s">
        <v>67</v>
      </c>
      <c r="C32" s="1" t="s">
        <v>34</v>
      </c>
      <c r="D32" s="1">
        <v>2.0</v>
      </c>
      <c r="E32" s="1">
        <v>90262.0</v>
      </c>
      <c r="F32" s="1">
        <v>180524.0</v>
      </c>
      <c r="G32" s="1" t="s">
        <v>25</v>
      </c>
      <c r="H32" s="1" t="s">
        <v>26</v>
      </c>
      <c r="I32" s="1" t="s">
        <v>31</v>
      </c>
      <c r="J32" s="1" t="s">
        <v>27</v>
      </c>
      <c r="K32" s="1" t="s">
        <v>28</v>
      </c>
    </row>
    <row r="33" ht="15.75" customHeight="1">
      <c r="A33" s="2">
        <v>46294.0</v>
      </c>
      <c r="B33" s="1" t="s">
        <v>68</v>
      </c>
      <c r="C33" s="1" t="s">
        <v>51</v>
      </c>
      <c r="D33" s="1">
        <v>2.0</v>
      </c>
      <c r="E33" s="1">
        <v>85423.0</v>
      </c>
      <c r="F33" s="1">
        <v>170846.0</v>
      </c>
      <c r="G33" s="1" t="s">
        <v>43</v>
      </c>
      <c r="H33" s="1" t="s">
        <v>21</v>
      </c>
      <c r="I33" s="1" t="s">
        <v>45</v>
      </c>
      <c r="J33" s="1" t="s">
        <v>27</v>
      </c>
      <c r="K33" s="1" t="s">
        <v>28</v>
      </c>
    </row>
    <row r="34" ht="15.75" customHeight="1">
      <c r="A34" s="2">
        <v>46243.0</v>
      </c>
      <c r="B34" s="1" t="s">
        <v>69</v>
      </c>
      <c r="C34" s="1" t="s">
        <v>51</v>
      </c>
      <c r="D34" s="1">
        <v>3.0</v>
      </c>
      <c r="E34" s="1">
        <v>89874.0</v>
      </c>
      <c r="F34" s="1">
        <v>269622.0</v>
      </c>
      <c r="G34" s="1" t="s">
        <v>20</v>
      </c>
      <c r="H34" s="1" t="s">
        <v>52</v>
      </c>
      <c r="I34" s="1" t="s">
        <v>31</v>
      </c>
      <c r="J34" s="1" t="s">
        <v>16</v>
      </c>
      <c r="K34" s="1" t="s">
        <v>28</v>
      </c>
    </row>
    <row r="35" ht="15.75" customHeight="1">
      <c r="A35" s="2">
        <v>46267.0</v>
      </c>
      <c r="B35" s="1" t="s">
        <v>70</v>
      </c>
      <c r="C35" s="1" t="s">
        <v>24</v>
      </c>
      <c r="D35" s="1">
        <v>3.0</v>
      </c>
      <c r="E35" s="1">
        <v>11648.0</v>
      </c>
      <c r="F35" s="1">
        <v>34944.0</v>
      </c>
      <c r="G35" s="1" t="s">
        <v>20</v>
      </c>
      <c r="H35" s="1" t="s">
        <v>21</v>
      </c>
      <c r="I35" s="1" t="s">
        <v>22</v>
      </c>
      <c r="J35" s="1" t="s">
        <v>16</v>
      </c>
      <c r="K35" s="1" t="s">
        <v>17</v>
      </c>
    </row>
    <row r="36" ht="15.75" customHeight="1">
      <c r="A36" s="2">
        <v>46259.0</v>
      </c>
      <c r="B36" s="1" t="s">
        <v>71</v>
      </c>
      <c r="C36" s="1" t="s">
        <v>12</v>
      </c>
      <c r="D36" s="1">
        <v>2.0</v>
      </c>
      <c r="E36" s="1">
        <v>119973.0</v>
      </c>
      <c r="F36" s="1">
        <v>239946.0</v>
      </c>
      <c r="G36" s="1" t="s">
        <v>30</v>
      </c>
      <c r="H36" s="1" t="s">
        <v>26</v>
      </c>
      <c r="I36" s="1" t="s">
        <v>22</v>
      </c>
      <c r="J36" s="1" t="s">
        <v>32</v>
      </c>
      <c r="K36" s="1" t="s">
        <v>28</v>
      </c>
    </row>
    <row r="37" ht="15.75" customHeight="1">
      <c r="A37" s="2">
        <v>46295.0</v>
      </c>
      <c r="B37" s="1" t="s">
        <v>72</v>
      </c>
      <c r="C37" s="1" t="s">
        <v>51</v>
      </c>
      <c r="D37" s="1">
        <v>4.0</v>
      </c>
      <c r="E37" s="1">
        <v>88352.0</v>
      </c>
      <c r="F37" s="1">
        <v>353408.0</v>
      </c>
      <c r="G37" s="1" t="s">
        <v>25</v>
      </c>
      <c r="H37" s="1" t="s">
        <v>37</v>
      </c>
      <c r="I37" s="1" t="s">
        <v>22</v>
      </c>
      <c r="J37" s="1" t="s">
        <v>27</v>
      </c>
      <c r="K37" s="1" t="s">
        <v>28</v>
      </c>
    </row>
    <row r="38" ht="15.75" customHeight="1">
      <c r="A38" s="2">
        <v>46254.0</v>
      </c>
      <c r="B38" s="1" t="s">
        <v>73</v>
      </c>
      <c r="C38" s="1" t="s">
        <v>19</v>
      </c>
      <c r="D38" s="1">
        <v>1.0</v>
      </c>
      <c r="E38" s="1">
        <v>179735.0</v>
      </c>
      <c r="F38" s="1">
        <v>179735.0</v>
      </c>
      <c r="G38" s="1" t="s">
        <v>47</v>
      </c>
      <c r="H38" s="1" t="s">
        <v>21</v>
      </c>
      <c r="I38" s="1" t="s">
        <v>15</v>
      </c>
      <c r="J38" s="1" t="s">
        <v>32</v>
      </c>
      <c r="K38" s="1" t="s">
        <v>17</v>
      </c>
    </row>
    <row r="39" ht="15.75" customHeight="1">
      <c r="A39" s="2">
        <v>46256.0</v>
      </c>
      <c r="B39" s="1" t="s">
        <v>74</v>
      </c>
      <c r="C39" s="1" t="s">
        <v>34</v>
      </c>
      <c r="D39" s="1">
        <v>5.0</v>
      </c>
      <c r="E39" s="1">
        <v>98754.0</v>
      </c>
      <c r="F39" s="1">
        <v>493770.0</v>
      </c>
      <c r="G39" s="1" t="s">
        <v>43</v>
      </c>
      <c r="H39" s="1" t="s">
        <v>52</v>
      </c>
      <c r="I39" s="1" t="s">
        <v>15</v>
      </c>
      <c r="J39" s="1" t="s">
        <v>16</v>
      </c>
      <c r="K39" s="1" t="s">
        <v>17</v>
      </c>
    </row>
    <row r="40" ht="15.75" customHeight="1">
      <c r="A40" s="2">
        <v>46264.0</v>
      </c>
      <c r="B40" s="1" t="s">
        <v>75</v>
      </c>
      <c r="C40" s="1" t="s">
        <v>51</v>
      </c>
      <c r="D40" s="1">
        <v>4.0</v>
      </c>
      <c r="E40" s="1">
        <v>87022.0</v>
      </c>
      <c r="F40" s="1">
        <v>348088.0</v>
      </c>
      <c r="G40" s="1" t="s">
        <v>20</v>
      </c>
      <c r="H40" s="1" t="s">
        <v>37</v>
      </c>
      <c r="I40" s="1" t="s">
        <v>45</v>
      </c>
      <c r="J40" s="1" t="s">
        <v>27</v>
      </c>
      <c r="K40" s="1" t="s">
        <v>28</v>
      </c>
    </row>
    <row r="41" ht="15.75" customHeight="1">
      <c r="A41" s="2">
        <v>46253.0</v>
      </c>
      <c r="B41" s="1" t="s">
        <v>76</v>
      </c>
      <c r="C41" s="1" t="s">
        <v>24</v>
      </c>
      <c r="D41" s="1">
        <v>3.0</v>
      </c>
      <c r="E41" s="1">
        <v>17679.0</v>
      </c>
      <c r="F41" s="1">
        <v>53037.0</v>
      </c>
      <c r="G41" s="1" t="s">
        <v>47</v>
      </c>
      <c r="H41" s="1" t="s">
        <v>21</v>
      </c>
      <c r="I41" s="1" t="s">
        <v>31</v>
      </c>
      <c r="J41" s="1" t="s">
        <v>16</v>
      </c>
      <c r="K41" s="1" t="s">
        <v>17</v>
      </c>
    </row>
    <row r="42" ht="15.75" customHeight="1">
      <c r="A42" s="2">
        <v>46280.0</v>
      </c>
      <c r="B42" s="1" t="s">
        <v>77</v>
      </c>
      <c r="C42" s="1" t="s">
        <v>12</v>
      </c>
      <c r="D42" s="1">
        <v>3.0</v>
      </c>
      <c r="E42" s="1">
        <v>116060.0</v>
      </c>
      <c r="F42" s="1">
        <v>348180.0</v>
      </c>
      <c r="G42" s="1" t="s">
        <v>20</v>
      </c>
      <c r="H42" s="1" t="s">
        <v>14</v>
      </c>
      <c r="I42" s="1" t="s">
        <v>45</v>
      </c>
      <c r="J42" s="1" t="s">
        <v>16</v>
      </c>
      <c r="K42" s="1" t="s">
        <v>17</v>
      </c>
    </row>
    <row r="43" ht="15.75" customHeight="1">
      <c r="A43" s="2">
        <v>46294.0</v>
      </c>
      <c r="B43" s="1" t="s">
        <v>78</v>
      </c>
      <c r="C43" s="1" t="s">
        <v>51</v>
      </c>
      <c r="D43" s="1">
        <v>4.0</v>
      </c>
      <c r="E43" s="1">
        <v>80190.0</v>
      </c>
      <c r="F43" s="1">
        <v>320760.0</v>
      </c>
      <c r="G43" s="1" t="s">
        <v>13</v>
      </c>
      <c r="H43" s="1" t="s">
        <v>14</v>
      </c>
      <c r="I43" s="1" t="s">
        <v>31</v>
      </c>
      <c r="J43" s="1" t="s">
        <v>32</v>
      </c>
      <c r="K43" s="1" t="s">
        <v>17</v>
      </c>
    </row>
    <row r="44" ht="15.75" customHeight="1">
      <c r="A44" s="2">
        <v>46301.0</v>
      </c>
      <c r="B44" s="1" t="s">
        <v>79</v>
      </c>
      <c r="C44" s="1" t="s">
        <v>39</v>
      </c>
      <c r="D44" s="1">
        <v>1.0</v>
      </c>
      <c r="E44" s="1">
        <v>65854.0</v>
      </c>
      <c r="F44" s="1">
        <v>65854.0</v>
      </c>
      <c r="G44" s="1" t="s">
        <v>43</v>
      </c>
      <c r="H44" s="1" t="s">
        <v>26</v>
      </c>
      <c r="I44" s="1" t="s">
        <v>15</v>
      </c>
      <c r="J44" s="1" t="s">
        <v>16</v>
      </c>
      <c r="K44" s="1" t="s">
        <v>28</v>
      </c>
    </row>
    <row r="45" ht="15.75" customHeight="1">
      <c r="A45" s="2">
        <v>46266.0</v>
      </c>
      <c r="B45" s="1" t="s">
        <v>80</v>
      </c>
      <c r="C45" s="1" t="s">
        <v>34</v>
      </c>
      <c r="D45" s="1">
        <v>2.0</v>
      </c>
      <c r="E45" s="1">
        <v>97806.0</v>
      </c>
      <c r="F45" s="1">
        <v>195612.0</v>
      </c>
      <c r="G45" s="1" t="s">
        <v>81</v>
      </c>
      <c r="H45" s="1" t="s">
        <v>26</v>
      </c>
      <c r="I45" s="1" t="s">
        <v>22</v>
      </c>
      <c r="J45" s="1" t="s">
        <v>16</v>
      </c>
      <c r="K45" s="1" t="s">
        <v>17</v>
      </c>
    </row>
    <row r="46" ht="15.75" customHeight="1">
      <c r="A46" s="2">
        <v>46267.0</v>
      </c>
      <c r="B46" s="1" t="s">
        <v>82</v>
      </c>
      <c r="C46" s="1" t="s">
        <v>51</v>
      </c>
      <c r="D46" s="1">
        <v>3.0</v>
      </c>
      <c r="E46" s="1">
        <v>87343.0</v>
      </c>
      <c r="F46" s="1">
        <v>262029.0</v>
      </c>
      <c r="G46" s="1" t="s">
        <v>35</v>
      </c>
      <c r="H46" s="1" t="s">
        <v>14</v>
      </c>
      <c r="I46" s="1" t="s">
        <v>22</v>
      </c>
      <c r="J46" s="1" t="s">
        <v>32</v>
      </c>
      <c r="K46" s="1" t="s">
        <v>17</v>
      </c>
    </row>
    <row r="47" ht="15.75" customHeight="1">
      <c r="A47" s="2">
        <v>46284.0</v>
      </c>
      <c r="B47" s="1" t="s">
        <v>83</v>
      </c>
      <c r="C47" s="1" t="s">
        <v>51</v>
      </c>
      <c r="D47" s="1">
        <v>5.0</v>
      </c>
      <c r="E47" s="1">
        <v>86971.0</v>
      </c>
      <c r="F47" s="1">
        <v>434855.0</v>
      </c>
      <c r="G47" s="1" t="s">
        <v>30</v>
      </c>
      <c r="H47" s="1" t="s">
        <v>37</v>
      </c>
      <c r="I47" s="1" t="s">
        <v>31</v>
      </c>
      <c r="J47" s="1" t="s">
        <v>27</v>
      </c>
      <c r="K47" s="1" t="s">
        <v>28</v>
      </c>
    </row>
    <row r="48" ht="15.75" customHeight="1">
      <c r="A48" s="2">
        <v>46299.0</v>
      </c>
      <c r="B48" s="1" t="s">
        <v>84</v>
      </c>
      <c r="C48" s="1" t="s">
        <v>34</v>
      </c>
      <c r="D48" s="1">
        <v>4.0</v>
      </c>
      <c r="E48" s="1">
        <v>96002.0</v>
      </c>
      <c r="F48" s="1">
        <v>384008.0</v>
      </c>
      <c r="G48" s="1" t="s">
        <v>35</v>
      </c>
      <c r="H48" s="1" t="s">
        <v>21</v>
      </c>
      <c r="I48" s="1" t="s">
        <v>22</v>
      </c>
      <c r="J48" s="1" t="s">
        <v>16</v>
      </c>
      <c r="K48" s="1" t="s">
        <v>28</v>
      </c>
    </row>
    <row r="49" ht="15.75" customHeight="1">
      <c r="A49" s="2">
        <v>46297.0</v>
      </c>
      <c r="B49" s="1" t="s">
        <v>85</v>
      </c>
      <c r="C49" s="1" t="s">
        <v>34</v>
      </c>
      <c r="D49" s="1">
        <v>3.0</v>
      </c>
      <c r="E49" s="1">
        <v>93769.0</v>
      </c>
      <c r="F49" s="1">
        <v>281307.0</v>
      </c>
      <c r="G49" s="1" t="s">
        <v>35</v>
      </c>
      <c r="H49" s="1" t="s">
        <v>14</v>
      </c>
      <c r="I49" s="1" t="s">
        <v>22</v>
      </c>
      <c r="J49" s="1" t="s">
        <v>16</v>
      </c>
      <c r="K49" s="1" t="s">
        <v>17</v>
      </c>
    </row>
    <row r="50" ht="15.75" customHeight="1">
      <c r="A50" s="2">
        <v>46283.0</v>
      </c>
      <c r="B50" s="1" t="s">
        <v>86</v>
      </c>
      <c r="C50" s="1" t="s">
        <v>24</v>
      </c>
      <c r="D50" s="1">
        <v>2.0</v>
      </c>
      <c r="E50" s="1">
        <v>13854.0</v>
      </c>
      <c r="F50" s="1">
        <v>27708.0</v>
      </c>
      <c r="G50" s="1" t="s">
        <v>43</v>
      </c>
      <c r="H50" s="1" t="s">
        <v>52</v>
      </c>
      <c r="I50" s="1" t="s">
        <v>31</v>
      </c>
      <c r="J50" s="1" t="s">
        <v>27</v>
      </c>
      <c r="K50" s="1" t="s">
        <v>17</v>
      </c>
    </row>
    <row r="51" ht="15.75" customHeight="1">
      <c r="A51" s="2">
        <v>46242.0</v>
      </c>
      <c r="B51" s="1" t="s">
        <v>87</v>
      </c>
      <c r="C51" s="1" t="s">
        <v>12</v>
      </c>
      <c r="D51" s="1">
        <v>4.0</v>
      </c>
      <c r="E51" s="1">
        <v>118051.0</v>
      </c>
      <c r="F51" s="1">
        <v>472204.0</v>
      </c>
      <c r="G51" s="1" t="s">
        <v>25</v>
      </c>
      <c r="H51" s="1" t="s">
        <v>14</v>
      </c>
      <c r="I51" s="1" t="s">
        <v>15</v>
      </c>
      <c r="J51" s="1" t="s">
        <v>16</v>
      </c>
      <c r="K51" s="1" t="s">
        <v>17</v>
      </c>
    </row>
    <row r="52" ht="15.75" customHeight="1">
      <c r="A52" s="2">
        <v>46281.0</v>
      </c>
      <c r="B52" s="1" t="s">
        <v>88</v>
      </c>
      <c r="C52" s="1" t="s">
        <v>19</v>
      </c>
      <c r="D52" s="1">
        <v>4.0</v>
      </c>
      <c r="E52" s="1">
        <v>181799.0</v>
      </c>
      <c r="F52" s="1">
        <v>727196.0</v>
      </c>
      <c r="G52" s="1" t="s">
        <v>13</v>
      </c>
      <c r="H52" s="1" t="s">
        <v>26</v>
      </c>
      <c r="I52" s="1" t="s">
        <v>31</v>
      </c>
      <c r="J52" s="1" t="s">
        <v>16</v>
      </c>
      <c r="K52" s="1" t="s">
        <v>17</v>
      </c>
    </row>
    <row r="53" ht="15.75" customHeight="1">
      <c r="A53" s="2">
        <v>46253.0</v>
      </c>
      <c r="B53" s="1" t="s">
        <v>89</v>
      </c>
      <c r="C53" s="1" t="s">
        <v>51</v>
      </c>
      <c r="D53" s="1">
        <v>3.0</v>
      </c>
      <c r="E53" s="1">
        <v>85177.0</v>
      </c>
      <c r="F53" s="1">
        <v>255531.0</v>
      </c>
      <c r="G53" s="1" t="s">
        <v>35</v>
      </c>
      <c r="H53" s="1" t="s">
        <v>26</v>
      </c>
      <c r="I53" s="1" t="s">
        <v>45</v>
      </c>
      <c r="J53" s="1" t="s">
        <v>16</v>
      </c>
      <c r="K53" s="1" t="s">
        <v>17</v>
      </c>
    </row>
    <row r="54" ht="15.75" customHeight="1">
      <c r="A54" s="2">
        <v>46296.0</v>
      </c>
      <c r="B54" s="1" t="s">
        <v>90</v>
      </c>
      <c r="C54" s="1" t="s">
        <v>51</v>
      </c>
      <c r="D54" s="1">
        <v>4.0</v>
      </c>
      <c r="E54" s="1">
        <v>89204.0</v>
      </c>
      <c r="F54" s="1">
        <v>356816.0</v>
      </c>
      <c r="G54" s="1" t="s">
        <v>47</v>
      </c>
      <c r="H54" s="1" t="s">
        <v>26</v>
      </c>
      <c r="I54" s="1" t="s">
        <v>22</v>
      </c>
      <c r="J54" s="1" t="s">
        <v>27</v>
      </c>
      <c r="K54" s="1" t="s">
        <v>17</v>
      </c>
    </row>
    <row r="55" ht="15.75" customHeight="1">
      <c r="A55" s="2">
        <v>46268.0</v>
      </c>
      <c r="B55" s="1" t="s">
        <v>91</v>
      </c>
      <c r="C55" s="1" t="s">
        <v>34</v>
      </c>
      <c r="D55" s="1">
        <v>1.0</v>
      </c>
      <c r="E55" s="1">
        <v>97404.0</v>
      </c>
      <c r="F55" s="1">
        <v>97404.0</v>
      </c>
      <c r="G55" s="1" t="s">
        <v>13</v>
      </c>
      <c r="H55" s="1" t="s">
        <v>37</v>
      </c>
      <c r="I55" s="1" t="s">
        <v>31</v>
      </c>
      <c r="J55" s="1" t="s">
        <v>27</v>
      </c>
      <c r="K55" s="1" t="s">
        <v>17</v>
      </c>
    </row>
    <row r="56" ht="15.75" customHeight="1">
      <c r="A56" s="2">
        <v>46298.0</v>
      </c>
      <c r="B56" s="1" t="s">
        <v>92</v>
      </c>
      <c r="C56" s="1" t="s">
        <v>12</v>
      </c>
      <c r="D56" s="1">
        <v>5.0</v>
      </c>
      <c r="E56" s="1">
        <v>123130.0</v>
      </c>
      <c r="F56" s="1">
        <v>615650.0</v>
      </c>
      <c r="G56" s="1" t="s">
        <v>25</v>
      </c>
      <c r="H56" s="1" t="s">
        <v>26</v>
      </c>
      <c r="I56" s="1" t="s">
        <v>31</v>
      </c>
      <c r="J56" s="1" t="s">
        <v>32</v>
      </c>
      <c r="K56" s="1" t="s">
        <v>17</v>
      </c>
    </row>
    <row r="57" ht="15.75" customHeight="1">
      <c r="A57" s="2">
        <v>46291.0</v>
      </c>
      <c r="B57" s="1" t="s">
        <v>93</v>
      </c>
      <c r="C57" s="1" t="s">
        <v>12</v>
      </c>
      <c r="D57" s="1">
        <v>4.0</v>
      </c>
      <c r="E57" s="1">
        <v>120188.0</v>
      </c>
      <c r="F57" s="1">
        <v>480752.0</v>
      </c>
      <c r="G57" s="1" t="s">
        <v>35</v>
      </c>
      <c r="H57" s="1" t="s">
        <v>37</v>
      </c>
      <c r="I57" s="1" t="s">
        <v>22</v>
      </c>
      <c r="J57" s="1" t="s">
        <v>16</v>
      </c>
      <c r="K57" s="1" t="s">
        <v>17</v>
      </c>
    </row>
    <row r="58" ht="15.75" customHeight="1">
      <c r="A58" s="2">
        <v>46303.0</v>
      </c>
      <c r="B58" s="1" t="s">
        <v>94</v>
      </c>
      <c r="C58" s="1" t="s">
        <v>24</v>
      </c>
      <c r="D58" s="1">
        <v>2.0</v>
      </c>
      <c r="E58" s="1">
        <v>16617.0</v>
      </c>
      <c r="F58" s="1">
        <v>33234.0</v>
      </c>
      <c r="G58" s="1" t="s">
        <v>20</v>
      </c>
      <c r="H58" s="1" t="s">
        <v>14</v>
      </c>
      <c r="I58" s="1" t="s">
        <v>15</v>
      </c>
      <c r="J58" s="1" t="s">
        <v>27</v>
      </c>
      <c r="K58" s="1" t="s">
        <v>17</v>
      </c>
    </row>
    <row r="59" ht="15.75" customHeight="1">
      <c r="A59" s="2">
        <v>46257.0</v>
      </c>
      <c r="B59" s="1" t="s">
        <v>95</v>
      </c>
      <c r="C59" s="1" t="s">
        <v>39</v>
      </c>
      <c r="D59" s="1">
        <v>2.0</v>
      </c>
      <c r="E59" s="1">
        <v>62849.0</v>
      </c>
      <c r="F59" s="1">
        <v>125698.0</v>
      </c>
      <c r="G59" s="1" t="s">
        <v>25</v>
      </c>
      <c r="H59" s="1" t="s">
        <v>26</v>
      </c>
      <c r="I59" s="1" t="s">
        <v>22</v>
      </c>
      <c r="J59" s="1" t="s">
        <v>32</v>
      </c>
      <c r="K59" s="1" t="s">
        <v>17</v>
      </c>
    </row>
    <row r="60" ht="15.75" customHeight="1">
      <c r="A60" s="2">
        <v>46235.0</v>
      </c>
      <c r="B60" s="1" t="s">
        <v>96</v>
      </c>
      <c r="C60" s="1" t="s">
        <v>12</v>
      </c>
      <c r="D60" s="1">
        <v>5.0</v>
      </c>
      <c r="E60" s="1">
        <v>119611.0</v>
      </c>
      <c r="F60" s="1">
        <v>598055.0</v>
      </c>
      <c r="G60" s="1" t="s">
        <v>20</v>
      </c>
      <c r="H60" s="1" t="s">
        <v>26</v>
      </c>
      <c r="I60" s="1" t="s">
        <v>45</v>
      </c>
      <c r="J60" s="1" t="s">
        <v>32</v>
      </c>
      <c r="K60" s="1" t="s">
        <v>28</v>
      </c>
    </row>
    <row r="61" ht="15.75" customHeight="1">
      <c r="A61" s="2">
        <v>46258.0</v>
      </c>
      <c r="B61" s="1" t="s">
        <v>97</v>
      </c>
      <c r="C61" s="1" t="s">
        <v>24</v>
      </c>
      <c r="D61" s="1">
        <v>2.0</v>
      </c>
      <c r="E61" s="1">
        <v>12427.0</v>
      </c>
      <c r="F61" s="1">
        <v>24854.0</v>
      </c>
      <c r="G61" s="1" t="s">
        <v>47</v>
      </c>
      <c r="H61" s="1" t="s">
        <v>37</v>
      </c>
      <c r="I61" s="1" t="s">
        <v>45</v>
      </c>
      <c r="J61" s="1" t="s">
        <v>32</v>
      </c>
      <c r="K61" s="1" t="s">
        <v>17</v>
      </c>
    </row>
    <row r="62" ht="15.75" customHeight="1">
      <c r="A62" s="2">
        <v>46246.0</v>
      </c>
      <c r="B62" s="1" t="s">
        <v>98</v>
      </c>
      <c r="C62" s="1" t="s">
        <v>19</v>
      </c>
      <c r="D62" s="1">
        <v>1.0</v>
      </c>
      <c r="E62" s="1">
        <v>180536.0</v>
      </c>
      <c r="F62" s="1">
        <v>180536.0</v>
      </c>
      <c r="G62" s="1" t="s">
        <v>20</v>
      </c>
      <c r="H62" s="1" t="s">
        <v>26</v>
      </c>
      <c r="I62" s="1" t="s">
        <v>15</v>
      </c>
      <c r="J62" s="1" t="s">
        <v>27</v>
      </c>
      <c r="K62" s="1" t="s">
        <v>17</v>
      </c>
    </row>
    <row r="63" ht="15.75" customHeight="1">
      <c r="A63" s="2">
        <v>46246.0</v>
      </c>
      <c r="B63" s="1" t="s">
        <v>99</v>
      </c>
      <c r="C63" s="1" t="s">
        <v>34</v>
      </c>
      <c r="D63" s="1">
        <v>2.0</v>
      </c>
      <c r="E63" s="1">
        <v>98945.0</v>
      </c>
      <c r="F63" s="1">
        <v>197890.0</v>
      </c>
      <c r="G63" s="1" t="s">
        <v>81</v>
      </c>
      <c r="H63" s="1" t="s">
        <v>37</v>
      </c>
      <c r="I63" s="1" t="s">
        <v>22</v>
      </c>
      <c r="J63" s="1" t="s">
        <v>27</v>
      </c>
      <c r="K63" s="1" t="s">
        <v>17</v>
      </c>
    </row>
    <row r="64" ht="15.75" customHeight="1">
      <c r="A64" s="2">
        <v>46268.0</v>
      </c>
      <c r="B64" s="1" t="s">
        <v>100</v>
      </c>
      <c r="C64" s="1" t="s">
        <v>19</v>
      </c>
      <c r="D64" s="1">
        <v>1.0</v>
      </c>
      <c r="E64" s="1">
        <v>178974.0</v>
      </c>
      <c r="F64" s="1">
        <v>178974.0</v>
      </c>
      <c r="G64" s="1" t="s">
        <v>25</v>
      </c>
      <c r="H64" s="1" t="s">
        <v>26</v>
      </c>
      <c r="I64" s="1" t="s">
        <v>45</v>
      </c>
      <c r="J64" s="1" t="s">
        <v>16</v>
      </c>
      <c r="K64" s="1" t="s">
        <v>17</v>
      </c>
    </row>
    <row r="65" ht="15.75" customHeight="1">
      <c r="A65" s="2">
        <v>46263.0</v>
      </c>
      <c r="B65" s="1" t="s">
        <v>101</v>
      </c>
      <c r="C65" s="1" t="s">
        <v>24</v>
      </c>
      <c r="D65" s="1">
        <v>1.0</v>
      </c>
      <c r="E65" s="1">
        <v>17164.0</v>
      </c>
      <c r="F65" s="1">
        <v>17164.0</v>
      </c>
      <c r="G65" s="1" t="s">
        <v>47</v>
      </c>
      <c r="H65" s="1" t="s">
        <v>21</v>
      </c>
      <c r="I65" s="1" t="s">
        <v>22</v>
      </c>
      <c r="J65" s="1" t="s">
        <v>27</v>
      </c>
      <c r="K65" s="1" t="s">
        <v>17</v>
      </c>
    </row>
    <row r="66" ht="15.75" customHeight="1">
      <c r="A66" s="2">
        <v>46258.0</v>
      </c>
      <c r="B66" s="1" t="s">
        <v>102</v>
      </c>
      <c r="C66" s="1" t="s">
        <v>19</v>
      </c>
      <c r="D66" s="1">
        <v>1.0</v>
      </c>
      <c r="E66" s="1">
        <v>176122.0</v>
      </c>
      <c r="F66" s="1">
        <v>176122.0</v>
      </c>
      <c r="G66" s="1" t="s">
        <v>20</v>
      </c>
      <c r="H66" s="1" t="s">
        <v>21</v>
      </c>
      <c r="I66" s="1" t="s">
        <v>22</v>
      </c>
      <c r="J66" s="1" t="s">
        <v>27</v>
      </c>
      <c r="K66" s="1" t="s">
        <v>17</v>
      </c>
    </row>
    <row r="67" ht="15.75" customHeight="1">
      <c r="A67" s="2">
        <v>46258.0</v>
      </c>
      <c r="B67" s="1" t="s">
        <v>103</v>
      </c>
      <c r="C67" s="1" t="s">
        <v>34</v>
      </c>
      <c r="D67" s="1">
        <v>5.0</v>
      </c>
      <c r="E67" s="1">
        <v>93440.0</v>
      </c>
      <c r="F67" s="1">
        <v>467200.0</v>
      </c>
      <c r="G67" s="1" t="s">
        <v>35</v>
      </c>
      <c r="H67" s="1" t="s">
        <v>14</v>
      </c>
      <c r="I67" s="1" t="s">
        <v>15</v>
      </c>
      <c r="J67" s="1" t="s">
        <v>27</v>
      </c>
      <c r="K67" s="1" t="s">
        <v>17</v>
      </c>
    </row>
    <row r="68" ht="15.75" customHeight="1">
      <c r="A68" s="2">
        <v>46264.0</v>
      </c>
      <c r="B68" s="1" t="s">
        <v>104</v>
      </c>
      <c r="C68" s="1" t="s">
        <v>51</v>
      </c>
      <c r="D68" s="1">
        <v>1.0</v>
      </c>
      <c r="E68" s="1">
        <v>88787.0</v>
      </c>
      <c r="F68" s="1">
        <v>88787.0</v>
      </c>
      <c r="G68" s="1" t="s">
        <v>20</v>
      </c>
      <c r="H68" s="1" t="s">
        <v>37</v>
      </c>
      <c r="I68" s="1" t="s">
        <v>22</v>
      </c>
      <c r="J68" s="1" t="s">
        <v>27</v>
      </c>
      <c r="K68" s="1" t="s">
        <v>17</v>
      </c>
    </row>
    <row r="69" ht="15.75" customHeight="1">
      <c r="A69" s="2">
        <v>46253.0</v>
      </c>
      <c r="B69" s="1" t="s">
        <v>105</v>
      </c>
      <c r="C69" s="1" t="s">
        <v>51</v>
      </c>
      <c r="D69" s="1">
        <v>4.0</v>
      </c>
      <c r="E69" s="1">
        <v>80395.0</v>
      </c>
      <c r="F69" s="1">
        <v>321580.0</v>
      </c>
      <c r="G69" s="1" t="s">
        <v>13</v>
      </c>
      <c r="H69" s="1" t="s">
        <v>37</v>
      </c>
      <c r="I69" s="1" t="s">
        <v>15</v>
      </c>
      <c r="J69" s="1" t="s">
        <v>27</v>
      </c>
      <c r="K69" s="1" t="s">
        <v>17</v>
      </c>
    </row>
    <row r="70" ht="15.75" customHeight="1">
      <c r="A70" s="2">
        <v>46262.0</v>
      </c>
      <c r="B70" s="1" t="s">
        <v>106</v>
      </c>
      <c r="C70" s="1" t="s">
        <v>34</v>
      </c>
      <c r="D70" s="1">
        <v>4.0</v>
      </c>
      <c r="E70" s="1">
        <v>94946.0</v>
      </c>
      <c r="F70" s="1">
        <v>379784.0</v>
      </c>
      <c r="G70" s="1" t="s">
        <v>30</v>
      </c>
      <c r="H70" s="1" t="s">
        <v>14</v>
      </c>
      <c r="I70" s="1" t="s">
        <v>45</v>
      </c>
      <c r="J70" s="1" t="s">
        <v>32</v>
      </c>
      <c r="K70" s="1" t="s">
        <v>28</v>
      </c>
    </row>
    <row r="71" ht="15.75" customHeight="1">
      <c r="A71" s="2">
        <v>46259.0</v>
      </c>
      <c r="B71" s="1" t="s">
        <v>107</v>
      </c>
      <c r="C71" s="1" t="s">
        <v>24</v>
      </c>
      <c r="D71" s="1">
        <v>3.0</v>
      </c>
      <c r="E71" s="1">
        <v>15588.0</v>
      </c>
      <c r="F71" s="1">
        <v>46764.0</v>
      </c>
      <c r="G71" s="1" t="s">
        <v>25</v>
      </c>
      <c r="H71" s="1" t="s">
        <v>14</v>
      </c>
      <c r="I71" s="1" t="s">
        <v>15</v>
      </c>
      <c r="J71" s="1" t="s">
        <v>27</v>
      </c>
      <c r="K71" s="1" t="s">
        <v>17</v>
      </c>
    </row>
    <row r="72" ht="15.75" customHeight="1">
      <c r="A72" s="2">
        <v>46287.0</v>
      </c>
      <c r="B72" s="1" t="s">
        <v>108</v>
      </c>
      <c r="C72" s="1" t="s">
        <v>39</v>
      </c>
      <c r="D72" s="1">
        <v>2.0</v>
      </c>
      <c r="E72" s="1">
        <v>66541.0</v>
      </c>
      <c r="F72" s="1">
        <v>133082.0</v>
      </c>
      <c r="G72" s="1" t="s">
        <v>35</v>
      </c>
      <c r="H72" s="1" t="s">
        <v>26</v>
      </c>
      <c r="I72" s="1" t="s">
        <v>45</v>
      </c>
      <c r="J72" s="1" t="s">
        <v>32</v>
      </c>
      <c r="K72" s="1" t="s">
        <v>17</v>
      </c>
    </row>
    <row r="73" ht="15.75" customHeight="1">
      <c r="A73" s="2">
        <v>46252.0</v>
      </c>
      <c r="B73" s="1" t="s">
        <v>109</v>
      </c>
      <c r="C73" s="1" t="s">
        <v>24</v>
      </c>
      <c r="D73" s="1">
        <v>1.0</v>
      </c>
      <c r="E73" s="1">
        <v>17241.0</v>
      </c>
      <c r="F73" s="1">
        <v>17241.0</v>
      </c>
      <c r="G73" s="1" t="s">
        <v>30</v>
      </c>
      <c r="H73" s="1" t="s">
        <v>21</v>
      </c>
      <c r="I73" s="1" t="s">
        <v>45</v>
      </c>
      <c r="J73" s="1" t="s">
        <v>27</v>
      </c>
      <c r="K73" s="1" t="s">
        <v>17</v>
      </c>
    </row>
    <row r="74" ht="15.75" customHeight="1">
      <c r="A74" s="2">
        <v>46241.0</v>
      </c>
      <c r="B74" s="1" t="s">
        <v>110</v>
      </c>
      <c r="C74" s="1" t="s">
        <v>34</v>
      </c>
      <c r="D74" s="1">
        <v>5.0</v>
      </c>
      <c r="E74" s="1">
        <v>91191.0</v>
      </c>
      <c r="F74" s="1">
        <v>455955.0</v>
      </c>
      <c r="G74" s="1" t="s">
        <v>30</v>
      </c>
      <c r="H74" s="1" t="s">
        <v>37</v>
      </c>
      <c r="I74" s="1" t="s">
        <v>22</v>
      </c>
      <c r="J74" s="1" t="s">
        <v>32</v>
      </c>
      <c r="K74" s="1" t="s">
        <v>17</v>
      </c>
    </row>
    <row r="75" ht="15.75" customHeight="1">
      <c r="A75" s="2">
        <v>46300.0</v>
      </c>
      <c r="B75" s="1" t="s">
        <v>111</v>
      </c>
      <c r="C75" s="1" t="s">
        <v>12</v>
      </c>
      <c r="D75" s="1">
        <v>5.0</v>
      </c>
      <c r="E75" s="1">
        <v>120541.0</v>
      </c>
      <c r="F75" s="1">
        <v>602705.0</v>
      </c>
      <c r="G75" s="1" t="s">
        <v>81</v>
      </c>
      <c r="H75" s="1" t="s">
        <v>14</v>
      </c>
      <c r="I75" s="1" t="s">
        <v>45</v>
      </c>
      <c r="J75" s="1" t="s">
        <v>16</v>
      </c>
      <c r="K75" s="1" t="s">
        <v>28</v>
      </c>
    </row>
    <row r="76" ht="15.75" customHeight="1">
      <c r="A76" s="2">
        <v>46251.0</v>
      </c>
      <c r="B76" s="1" t="s">
        <v>112</v>
      </c>
      <c r="C76" s="1" t="s">
        <v>51</v>
      </c>
      <c r="D76" s="1">
        <v>5.0</v>
      </c>
      <c r="E76" s="1">
        <v>89347.0</v>
      </c>
      <c r="F76" s="1">
        <v>446735.0</v>
      </c>
      <c r="G76" s="1" t="s">
        <v>25</v>
      </c>
      <c r="H76" s="1" t="s">
        <v>21</v>
      </c>
      <c r="I76" s="1" t="s">
        <v>15</v>
      </c>
      <c r="J76" s="1" t="s">
        <v>32</v>
      </c>
      <c r="K76" s="1" t="s">
        <v>17</v>
      </c>
    </row>
    <row r="77" ht="15.75" customHeight="1">
      <c r="A77" s="2">
        <v>46288.0</v>
      </c>
      <c r="B77" s="1" t="s">
        <v>113</v>
      </c>
      <c r="C77" s="1" t="s">
        <v>19</v>
      </c>
      <c r="D77" s="1">
        <v>2.0</v>
      </c>
      <c r="E77" s="1">
        <v>180977.0</v>
      </c>
      <c r="F77" s="1">
        <v>361954.0</v>
      </c>
      <c r="G77" s="1" t="s">
        <v>81</v>
      </c>
      <c r="H77" s="1" t="s">
        <v>52</v>
      </c>
      <c r="I77" s="1" t="s">
        <v>45</v>
      </c>
      <c r="J77" s="1" t="s">
        <v>27</v>
      </c>
      <c r="K77" s="1" t="s">
        <v>17</v>
      </c>
    </row>
    <row r="78" ht="15.75" customHeight="1">
      <c r="A78" s="2">
        <v>46292.0</v>
      </c>
      <c r="B78" s="1" t="s">
        <v>114</v>
      </c>
      <c r="C78" s="1" t="s">
        <v>24</v>
      </c>
      <c r="D78" s="1">
        <v>4.0</v>
      </c>
      <c r="E78" s="1">
        <v>18647.0</v>
      </c>
      <c r="F78" s="1">
        <v>74588.0</v>
      </c>
      <c r="G78" s="1" t="s">
        <v>13</v>
      </c>
      <c r="H78" s="1" t="s">
        <v>37</v>
      </c>
      <c r="I78" s="1" t="s">
        <v>15</v>
      </c>
      <c r="J78" s="1" t="s">
        <v>27</v>
      </c>
      <c r="K78" s="1" t="s">
        <v>17</v>
      </c>
    </row>
    <row r="79" ht="15.75" customHeight="1">
      <c r="A79" s="2">
        <v>46296.0</v>
      </c>
      <c r="B79" s="1" t="s">
        <v>115</v>
      </c>
      <c r="C79" s="1" t="s">
        <v>51</v>
      </c>
      <c r="D79" s="1">
        <v>4.0</v>
      </c>
      <c r="E79" s="1">
        <v>87576.0</v>
      </c>
      <c r="F79" s="1">
        <v>350304.0</v>
      </c>
      <c r="G79" s="1" t="s">
        <v>20</v>
      </c>
      <c r="H79" s="1" t="s">
        <v>37</v>
      </c>
      <c r="I79" s="1" t="s">
        <v>22</v>
      </c>
      <c r="J79" s="1" t="s">
        <v>27</v>
      </c>
      <c r="K79" s="1" t="s">
        <v>17</v>
      </c>
    </row>
    <row r="80" ht="15.75" customHeight="1">
      <c r="A80" s="2">
        <v>46292.0</v>
      </c>
      <c r="B80" s="1" t="s">
        <v>116</v>
      </c>
      <c r="C80" s="1" t="s">
        <v>24</v>
      </c>
      <c r="D80" s="1">
        <v>5.0</v>
      </c>
      <c r="E80" s="1">
        <v>16316.0</v>
      </c>
      <c r="F80" s="1">
        <v>81580.0</v>
      </c>
      <c r="G80" s="1" t="s">
        <v>13</v>
      </c>
      <c r="H80" s="1" t="s">
        <v>14</v>
      </c>
      <c r="I80" s="1" t="s">
        <v>31</v>
      </c>
      <c r="J80" s="1" t="s">
        <v>16</v>
      </c>
      <c r="K80" s="1" t="s">
        <v>17</v>
      </c>
    </row>
    <row r="81" ht="15.75" customHeight="1">
      <c r="A81" s="2">
        <v>46270.0</v>
      </c>
      <c r="B81" s="1" t="s">
        <v>117</v>
      </c>
      <c r="C81" s="1" t="s">
        <v>19</v>
      </c>
      <c r="D81" s="1">
        <v>3.0</v>
      </c>
      <c r="E81" s="1">
        <v>181190.0</v>
      </c>
      <c r="F81" s="1">
        <v>543570.0</v>
      </c>
      <c r="G81" s="1" t="s">
        <v>47</v>
      </c>
      <c r="H81" s="1" t="s">
        <v>37</v>
      </c>
      <c r="I81" s="1" t="s">
        <v>22</v>
      </c>
      <c r="J81" s="1" t="s">
        <v>32</v>
      </c>
      <c r="K81" s="1" t="s">
        <v>17</v>
      </c>
    </row>
    <row r="82" ht="15.75" customHeight="1">
      <c r="A82" s="2">
        <v>46235.0</v>
      </c>
      <c r="B82" s="1" t="s">
        <v>118</v>
      </c>
      <c r="C82" s="1" t="s">
        <v>12</v>
      </c>
      <c r="D82" s="1">
        <v>3.0</v>
      </c>
      <c r="E82" s="1">
        <v>117703.0</v>
      </c>
      <c r="F82" s="1">
        <v>353109.0</v>
      </c>
      <c r="G82" s="1" t="s">
        <v>35</v>
      </c>
      <c r="H82" s="1" t="s">
        <v>37</v>
      </c>
      <c r="I82" s="1" t="s">
        <v>15</v>
      </c>
      <c r="J82" s="1" t="s">
        <v>16</v>
      </c>
      <c r="K82" s="1" t="s">
        <v>28</v>
      </c>
    </row>
    <row r="83" ht="15.75" customHeight="1">
      <c r="A83" s="1" t="s">
        <v>119</v>
      </c>
      <c r="B83" s="1">
        <f>SUMIF(K2:K82,"pagado",F2:F82)</f>
        <v>15656302</v>
      </c>
    </row>
    <row r="84" ht="15.75" customHeight="1">
      <c r="A84" s="3" t="s">
        <v>120</v>
      </c>
      <c r="B84" s="1">
        <f>SUMIF(K2:K82,"pendiente",F2:W82)</f>
        <v>6678689</v>
      </c>
    </row>
    <row r="85" ht="15.75" customHeight="1">
      <c r="A85" s="4">
        <v>46317.0</v>
      </c>
      <c r="B85" s="3" t="s">
        <v>121</v>
      </c>
      <c r="C85" s="3" t="s">
        <v>51</v>
      </c>
    </row>
    <row r="86" ht="15.75" customHeight="1">
      <c r="A86" s="4">
        <v>46317.0</v>
      </c>
      <c r="B86" s="3" t="s">
        <v>122</v>
      </c>
      <c r="C86" s="3" t="s">
        <v>51</v>
      </c>
    </row>
    <row r="87" ht="15.75" customHeight="1">
      <c r="A87" s="4">
        <v>46317.0</v>
      </c>
      <c r="B87" s="3" t="s">
        <v>123</v>
      </c>
      <c r="C87" s="3" t="s">
        <v>51</v>
      </c>
    </row>
    <row r="88" ht="15.75" customHeight="1">
      <c r="A88" s="4">
        <v>46317.0</v>
      </c>
      <c r="B88" s="3" t="s">
        <v>124</v>
      </c>
      <c r="C88" s="3" t="s">
        <v>51</v>
      </c>
    </row>
    <row r="89" ht="15.75" customHeight="1">
      <c r="A89" s="4">
        <v>46317.0</v>
      </c>
      <c r="B89" s="3" t="s">
        <v>125</v>
      </c>
      <c r="C89" s="3" t="s">
        <v>51</v>
      </c>
    </row>
    <row r="90" ht="15.75" customHeight="1">
      <c r="A90" s="4">
        <v>46317.0</v>
      </c>
      <c r="B90" s="3" t="s">
        <v>126</v>
      </c>
      <c r="C90" s="3" t="s">
        <v>51</v>
      </c>
    </row>
    <row r="91" ht="15.75" customHeight="1">
      <c r="A91" s="4">
        <v>46317.0</v>
      </c>
      <c r="B91" s="3" t="s">
        <v>127</v>
      </c>
      <c r="C91" s="3" t="s">
        <v>51</v>
      </c>
    </row>
    <row r="92" ht="15.75" customHeight="1">
      <c r="A92" s="4">
        <v>46317.0</v>
      </c>
      <c r="B92" s="3" t="s">
        <v>128</v>
      </c>
      <c r="C92" s="3" t="s">
        <v>51</v>
      </c>
    </row>
    <row r="93" ht="15.75" customHeight="1">
      <c r="A93" s="4">
        <v>46317.0</v>
      </c>
      <c r="B93" s="3" t="s">
        <v>129</v>
      </c>
      <c r="C93" s="3" t="s">
        <v>51</v>
      </c>
    </row>
    <row r="94" ht="15.75" customHeight="1">
      <c r="A94" s="4">
        <v>46317.0</v>
      </c>
      <c r="B94" s="3" t="s">
        <v>130</v>
      </c>
      <c r="C94" s="3" t="s">
        <v>51</v>
      </c>
    </row>
    <row r="95" ht="15.75" customHeight="1">
      <c r="A95" s="4">
        <v>46317.0</v>
      </c>
      <c r="B95" s="3" t="s">
        <v>131</v>
      </c>
      <c r="C95" s="3" t="s">
        <v>51</v>
      </c>
    </row>
    <row r="96" ht="15.75" customHeight="1">
      <c r="A96" s="4">
        <v>46317.0</v>
      </c>
      <c r="B96" s="3" t="s">
        <v>132</v>
      </c>
      <c r="C96" s="3" t="s">
        <v>51</v>
      </c>
    </row>
    <row r="97" ht="15.75" customHeight="1">
      <c r="A97" s="4">
        <v>46317.0</v>
      </c>
      <c r="B97" s="3" t="s">
        <v>133</v>
      </c>
      <c r="C97" s="3" t="s">
        <v>51</v>
      </c>
    </row>
    <row r="98" ht="15.75" customHeight="1">
      <c r="A98" s="4">
        <v>46317.0</v>
      </c>
      <c r="B98" s="3" t="s">
        <v>134</v>
      </c>
      <c r="C98" s="3" t="s">
        <v>51</v>
      </c>
    </row>
    <row r="99" ht="15.75" customHeight="1">
      <c r="A99" s="4">
        <v>46317.0</v>
      </c>
      <c r="B99" s="3" t="s">
        <v>135</v>
      </c>
      <c r="C99" s="3" t="s">
        <v>51</v>
      </c>
    </row>
    <row r="100" ht="15.75" customHeight="1">
      <c r="A100" s="4">
        <v>46317.0</v>
      </c>
      <c r="B100" s="3" t="s">
        <v>136</v>
      </c>
      <c r="C100" s="3" t="s">
        <v>51</v>
      </c>
    </row>
    <row r="101" ht="15.75" customHeight="1">
      <c r="A101" s="4">
        <v>46317.0</v>
      </c>
      <c r="B101" s="3" t="s">
        <v>137</v>
      </c>
      <c r="C101" s="3" t="s">
        <v>51</v>
      </c>
    </row>
    <row r="102" ht="15.75" customHeight="1">
      <c r="A102" s="4">
        <v>46317.0</v>
      </c>
      <c r="B102" s="3" t="s">
        <v>138</v>
      </c>
      <c r="C102" s="3" t="s">
        <v>51</v>
      </c>
    </row>
    <row r="103" ht="15.75" customHeight="1">
      <c r="A103" s="4">
        <v>46317.0</v>
      </c>
      <c r="B103" s="3" t="s">
        <v>139</v>
      </c>
      <c r="C103" s="3" t="s">
        <v>51</v>
      </c>
    </row>
    <row r="104" ht="15.75" customHeight="1">
      <c r="A104" s="4">
        <v>46317.0</v>
      </c>
      <c r="B104" s="3" t="s">
        <v>140</v>
      </c>
      <c r="C104" s="3" t="s">
        <v>51</v>
      </c>
    </row>
    <row r="105" ht="15.75" customHeight="1">
      <c r="A105" s="4">
        <v>46317.0</v>
      </c>
      <c r="B105" s="3" t="s">
        <v>141</v>
      </c>
      <c r="C105" s="3" t="s">
        <v>51</v>
      </c>
    </row>
    <row r="106" ht="15.75" customHeight="1">
      <c r="A106" s="4">
        <v>46317.0</v>
      </c>
      <c r="B106" s="3" t="s">
        <v>142</v>
      </c>
      <c r="C106" s="3" t="s">
        <v>51</v>
      </c>
    </row>
    <row r="107" ht="15.75" customHeight="1">
      <c r="A107" s="4">
        <v>46317.0</v>
      </c>
      <c r="B107" s="3" t="s">
        <v>143</v>
      </c>
      <c r="C107" s="3" t="s">
        <v>51</v>
      </c>
    </row>
    <row r="108" ht="15.75" customHeight="1">
      <c r="A108" s="4">
        <v>46317.0</v>
      </c>
      <c r="B108" s="3" t="s">
        <v>144</v>
      </c>
      <c r="C108" s="3" t="s">
        <v>51</v>
      </c>
    </row>
    <row r="109" ht="15.75" customHeight="1">
      <c r="A109" s="4">
        <v>46317.0</v>
      </c>
      <c r="B109" s="3" t="s">
        <v>145</v>
      </c>
      <c r="C109" s="3" t="s">
        <v>51</v>
      </c>
    </row>
    <row r="110" ht="15.75" customHeight="1">
      <c r="A110" s="4">
        <v>46317.0</v>
      </c>
      <c r="B110" s="3" t="s">
        <v>146</v>
      </c>
      <c r="C110" s="3" t="s">
        <v>51</v>
      </c>
    </row>
    <row r="111" ht="15.75" customHeight="1">
      <c r="A111" s="4">
        <v>46317.0</v>
      </c>
      <c r="B111" s="3" t="s">
        <v>147</v>
      </c>
      <c r="C111" s="3" t="s">
        <v>51</v>
      </c>
    </row>
    <row r="112" ht="15.75" customHeight="1">
      <c r="A112" s="4">
        <v>46317.0</v>
      </c>
      <c r="B112" s="3" t="s">
        <v>148</v>
      </c>
      <c r="C112" s="3" t="s">
        <v>51</v>
      </c>
    </row>
    <row r="113" ht="15.75" customHeight="1">
      <c r="A113" s="4">
        <v>46317.0</v>
      </c>
      <c r="B113" s="3" t="s">
        <v>149</v>
      </c>
      <c r="C113" s="3" t="s">
        <v>51</v>
      </c>
    </row>
    <row r="114" ht="15.75" customHeight="1">
      <c r="A114" s="4">
        <v>46317.0</v>
      </c>
      <c r="B114" s="3" t="s">
        <v>150</v>
      </c>
      <c r="C114" s="3" t="s">
        <v>51</v>
      </c>
    </row>
    <row r="115" ht="15.75" customHeight="1">
      <c r="A115" s="4">
        <v>46317.0</v>
      </c>
      <c r="B115" s="3" t="s">
        <v>151</v>
      </c>
      <c r="C115" s="3" t="s">
        <v>51</v>
      </c>
    </row>
    <row r="116" ht="15.75" customHeight="1">
      <c r="A116" s="4">
        <v>46317.0</v>
      </c>
      <c r="B116" s="3" t="s">
        <v>152</v>
      </c>
      <c r="C116" s="3" t="s">
        <v>51</v>
      </c>
    </row>
    <row r="117" ht="15.75" customHeight="1">
      <c r="A117" s="4">
        <v>46317.0</v>
      </c>
      <c r="B117" s="3" t="s">
        <v>153</v>
      </c>
      <c r="C117" s="3" t="s">
        <v>51</v>
      </c>
    </row>
    <row r="118" ht="15.75" customHeight="1">
      <c r="A118" s="4">
        <v>46317.0</v>
      </c>
      <c r="B118" s="3" t="s">
        <v>154</v>
      </c>
      <c r="C118" s="3" t="s">
        <v>51</v>
      </c>
    </row>
    <row r="119" ht="15.75" customHeight="1">
      <c r="A119" s="4">
        <v>46317.0</v>
      </c>
      <c r="B119" s="3" t="s">
        <v>155</v>
      </c>
      <c r="C119" s="3" t="s">
        <v>51</v>
      </c>
    </row>
    <row r="120" ht="15.75" customHeight="1">
      <c r="A120" s="4">
        <v>46317.0</v>
      </c>
      <c r="B120" s="3" t="s">
        <v>156</v>
      </c>
      <c r="C120" s="3" t="s">
        <v>51</v>
      </c>
    </row>
    <row r="121" ht="15.75" customHeight="1">
      <c r="A121" s="4">
        <v>46317.0</v>
      </c>
      <c r="B121" s="3" t="s">
        <v>157</v>
      </c>
      <c r="C121" s="3" t="s">
        <v>51</v>
      </c>
    </row>
    <row r="122" ht="15.75" customHeight="1">
      <c r="A122" s="4">
        <v>46317.0</v>
      </c>
      <c r="B122" s="3" t="s">
        <v>158</v>
      </c>
      <c r="C122" s="3" t="s">
        <v>51</v>
      </c>
    </row>
    <row r="123" ht="15.75" customHeight="1">
      <c r="A123" s="4">
        <v>46317.0</v>
      </c>
      <c r="B123" s="3" t="s">
        <v>159</v>
      </c>
      <c r="C123" s="3" t="s">
        <v>51</v>
      </c>
    </row>
    <row r="124" ht="15.75" customHeight="1">
      <c r="A124" s="4">
        <v>46317.0</v>
      </c>
      <c r="B124" s="3" t="s">
        <v>160</v>
      </c>
      <c r="C124" s="3" t="s">
        <v>51</v>
      </c>
    </row>
    <row r="125" ht="15.75" customHeight="1">
      <c r="A125" s="4"/>
      <c r="B125" s="3"/>
      <c r="C125" s="3"/>
    </row>
    <row r="126" ht="15.75" customHeight="1">
      <c r="A126" s="4"/>
      <c r="B126" s="3"/>
    </row>
    <row r="127" ht="15.75" customHeight="1">
      <c r="A127" s="4"/>
      <c r="B127" s="3"/>
    </row>
    <row r="128" ht="15.75" customHeight="1">
      <c r="A128" s="4"/>
      <c r="B128" s="3"/>
    </row>
    <row r="129" ht="15.75" customHeight="1">
      <c r="A129" s="4"/>
      <c r="B129" s="3"/>
    </row>
    <row r="130" ht="15.75" customHeight="1">
      <c r="A130" s="4"/>
      <c r="B130" s="3"/>
    </row>
    <row r="131" ht="15.75" customHeight="1">
      <c r="A131" s="4"/>
      <c r="B131" s="3"/>
    </row>
    <row r="132" ht="15.75" customHeight="1">
      <c r="A132" s="4"/>
      <c r="B132" s="3"/>
    </row>
    <row r="133" ht="15.75" customHeight="1">
      <c r="A133" s="4"/>
      <c r="B133" s="3"/>
    </row>
    <row r="134" ht="15.75" customHeight="1">
      <c r="A134" s="4"/>
      <c r="C134" s="3"/>
    </row>
    <row r="135" ht="15.75" customHeight="1">
      <c r="A135" s="4"/>
      <c r="C135" s="3"/>
    </row>
    <row r="136" ht="15.75" customHeight="1">
      <c r="A136" s="4"/>
      <c r="C136" s="3"/>
    </row>
    <row r="137" ht="15.75" customHeight="1">
      <c r="A137" s="4"/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